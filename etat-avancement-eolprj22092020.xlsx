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05" yWindow="255" windowWidth="18960" windowHeight="7800" activeTab="1"/>
  </bookViews>
  <sheets>
    <sheet name="etat" sheetId="1" r:id="rId1"/>
    <sheet name="fourn" sheetId="2" r:id="rId2"/>
    <sheet name="categorie" sheetId="3" r:id="rId3"/>
    <sheet name="sous categorie" sheetId="4" r:id="rId4"/>
    <sheet name="eoleos" sheetId="5" r:id="rId5"/>
  </sheets>
  <calcPr calcId="145621"/>
</workbook>
</file>

<file path=xl/calcChain.xml><?xml version="1.0" encoding="utf-8"?>
<calcChain xmlns="http://schemas.openxmlformats.org/spreadsheetml/2006/main">
  <c r="C25" i="5" l="1"/>
  <c r="C2" i="5"/>
  <c r="B2" i="5"/>
  <c r="B25" i="5"/>
  <c r="B19" i="4" l="1"/>
  <c r="B18" i="2"/>
  <c r="B4" i="3" l="1"/>
  <c r="C3" i="3" l="1"/>
  <c r="C4" i="3"/>
  <c r="C2" i="3"/>
</calcChain>
</file>

<file path=xl/sharedStrings.xml><?xml version="1.0" encoding="utf-8"?>
<sst xmlns="http://schemas.openxmlformats.org/spreadsheetml/2006/main" count="332" uniqueCount="187">
  <si>
    <t>Gestion des vulnérabilités</t>
  </si>
  <si>
    <t>Cycle de vie des produits</t>
  </si>
  <si>
    <t>Marque</t>
  </si>
  <si>
    <t>COUNTRY</t>
  </si>
  <si>
    <t>Security advisories</t>
  </si>
  <si>
    <t>Sources</t>
  </si>
  <si>
    <t>NVD</t>
  </si>
  <si>
    <t>EoL</t>
  </si>
  <si>
    <t>EoS</t>
  </si>
  <si>
    <t>Type de source</t>
  </si>
  <si>
    <t>Méthode de collecte</t>
  </si>
  <si>
    <t>Etat d'insertion</t>
  </si>
  <si>
    <t>Complexité</t>
  </si>
  <si>
    <t>CISCO</t>
  </si>
  <si>
    <t>USA</t>
  </si>
  <si>
    <t>OUI</t>
  </si>
  <si>
    <t>https://tools.cisco.com/security/center/publicationListing.x</t>
  </si>
  <si>
    <t>OUI (date publiée)</t>
  </si>
  <si>
    <t>https://www.cisco.com/c/en/us/products/routers/eos-eol-listing.html</t>
  </si>
  <si>
    <t>OFFICIELLE</t>
  </si>
  <si>
    <t>flux rss</t>
  </si>
  <si>
    <t>Terminée</t>
  </si>
  <si>
    <t>Simple</t>
  </si>
  <si>
    <t>AXIS</t>
  </si>
  <si>
    <t>SUEDE</t>
  </si>
  <si>
    <t>https://www.axis.com/fr/support/product-security</t>
  </si>
  <si>
    <t>PARTIEL</t>
  </si>
  <si>
    <t>OUI (date non publiée)</t>
  </si>
  <si>
    <t>NON</t>
  </si>
  <si>
    <t>https://www.axis.com/en-rs/support/product-support/discontinued-products</t>
  </si>
  <si>
    <t>robot dev</t>
  </si>
  <si>
    <t>Moyenne</t>
  </si>
  <si>
    <t>DAHUA TECHNOLOGY</t>
  </si>
  <si>
    <t>https://www.dahuasecurity.com/support/cybersecurity/annoucementNotice</t>
  </si>
  <si>
    <t>https://us.dahuasecurity.com/product-category/end-of-life/</t>
  </si>
  <si>
    <t>HIKVISION</t>
  </si>
  <si>
    <t>CH</t>
  </si>
  <si>
    <t>https://www.hikvision.com/Support/Cybersecurity-Center/Security-Advisory</t>
  </si>
  <si>
    <t>https://us.hikvision.com/en/products/more-products/discontinued-products</t>
  </si>
  <si>
    <t>HUAWEI</t>
  </si>
  <si>
    <t>https://www.huawei.com/en/psirt/all-bulletins</t>
  </si>
  <si>
    <t>OUI (EoS)</t>
  </si>
  <si>
    <t>OUI (EoM)</t>
  </si>
  <si>
    <t>https://support.huawei.com/enterprise/en/bulletins-product/life-cycle-notices/</t>
  </si>
  <si>
    <t>robot dev + manuelle</t>
  </si>
  <si>
    <t>Haute</t>
  </si>
  <si>
    <t>D-Link</t>
  </si>
  <si>
    <t>Taiwan</t>
  </si>
  <si>
    <t>OUI(Partiel)</t>
  </si>
  <si>
    <t>https://www.dlink.com/en/security-bulletin</t>
  </si>
  <si>
    <t>https://serviceexpress.com/resources/eol-eosl-database/d-link/</t>
  </si>
  <si>
    <t>TIERCE PARTIE</t>
  </si>
  <si>
    <t>manuelle</t>
  </si>
  <si>
    <t>LAST DAY OF SUPPORT</t>
  </si>
  <si>
    <t>https://legacy.us.dlink.com/</t>
  </si>
  <si>
    <t>en cours d'étude</t>
  </si>
  <si>
    <t>Oui (partielle)</t>
  </si>
  <si>
    <t>https://www.3grouterstore.co.uk/3G/End_Of_Life_Products.html</t>
  </si>
  <si>
    <t>TP-LINK</t>
  </si>
  <si>
    <t>Warranty &amp; RMA Policy</t>
  </si>
  <si>
    <t>https://www.tp-link.com/us/support/replacement-warranty/</t>
  </si>
  <si>
    <t>http://www.linkdataguard.com/TP-Link-EOL.asp</t>
  </si>
  <si>
    <t>OUI(date non publiée)</t>
  </si>
  <si>
    <t>https://www.tp-link.com/us/press/security-advisory/</t>
  </si>
  <si>
    <t>DIASYS NETMATION</t>
  </si>
  <si>
    <t>JP</t>
  </si>
  <si>
    <t>REMARQUES</t>
  </si>
  <si>
    <t>systèmes scada - site officiel: https://www.cs.mhps.com/en/index.html</t>
  </si>
  <si>
    <t>https://www.zyxel.com/support/security_advisories.shtml</t>
  </si>
  <si>
    <t>ZYXEL</t>
  </si>
  <si>
    <t>https://education.zyxel.com/newsletter/published/phaseout/phaseout.htm</t>
  </si>
  <si>
    <t>COMTECH</t>
  </si>
  <si>
    <t>DISCONTINUED PRODUCTS</t>
  </si>
  <si>
    <t>https://www.comtechefdata.com/products/discontinued-products</t>
  </si>
  <si>
    <t>NON (voir NVD et exploit-db)</t>
  </si>
  <si>
    <t>oui</t>
  </si>
  <si>
    <t>COMTREND</t>
  </si>
  <si>
    <t>non</t>
  </si>
  <si>
    <t>PANASONIC</t>
  </si>
  <si>
    <t>JAPON</t>
  </si>
  <si>
    <t>https://business.panasonic.co.uk/security-solutions/discontinued-products?field_psd_product_reference_tid%5B0%5D=All&amp;html=1&amp;page=8</t>
  </si>
  <si>
    <t>très difficile</t>
  </si>
  <si>
    <t>https://security.panasonic.com/training_support/support/</t>
  </si>
  <si>
    <t>VIVOTEK</t>
  </si>
  <si>
    <t>GRANDSTREAM</t>
  </si>
  <si>
    <t>https://na.panasonic.com/us/support/computers-tablets-handhelds-security-updates</t>
  </si>
  <si>
    <t>terminée</t>
  </si>
  <si>
    <t>ACTI</t>
  </si>
  <si>
    <t>partiel</t>
  </si>
  <si>
    <t>oui (publiée)</t>
  </si>
  <si>
    <t>https://www.acti.com/eol</t>
  </si>
  <si>
    <t>manuelle + script</t>
  </si>
  <si>
    <t>Honeywell</t>
  </si>
  <si>
    <t>UK</t>
  </si>
  <si>
    <t>oui (notification)</t>
  </si>
  <si>
    <t>https://www.security.honeywell.com/uk/resources/technical-support/eol-and-security-notices</t>
  </si>
  <si>
    <t>ZYXEL Networks</t>
  </si>
  <si>
    <t>Comtech</t>
  </si>
  <si>
    <t>D-LINK</t>
  </si>
  <si>
    <t>Panasonic</t>
  </si>
  <si>
    <t>SUNELL</t>
  </si>
  <si>
    <t>TP-Link</t>
  </si>
  <si>
    <t>produits insérés(eol/eos)</t>
  </si>
  <si>
    <t>IOT</t>
  </si>
  <si>
    <t>RESEAUX</t>
  </si>
  <si>
    <t>Nombre</t>
  </si>
  <si>
    <t>sous_categorie</t>
  </si>
  <si>
    <t>ANTENNE WIFI</t>
  </si>
  <si>
    <t>AUTRES</t>
  </si>
  <si>
    <t>CAMERA IP</t>
  </si>
  <si>
    <t>CHASSIS</t>
  </si>
  <si>
    <t>Codeurs / Decodeurs Video</t>
  </si>
  <si>
    <t>Encapsulateurrs/Recepteurs satellitaires</t>
  </si>
  <si>
    <t>FIREWALL</t>
  </si>
  <si>
    <t>IP PBX</t>
  </si>
  <si>
    <t>IP PHONE</t>
  </si>
  <si>
    <t>Modems Satellitaires</t>
  </si>
  <si>
    <t>MODULE/EXTENSION/SLOT/CARTE/INTERFACE</t>
  </si>
  <si>
    <t>Plateformes de réseau satellitaires</t>
  </si>
  <si>
    <t>POINTS D'ACCES</t>
  </si>
  <si>
    <t>ROUTEURS</t>
  </si>
  <si>
    <t>SOFTWARE-IOT</t>
  </si>
  <si>
    <t>Solutions VSAT avancées</t>
  </si>
  <si>
    <t>SWITCHS</t>
  </si>
  <si>
    <t>sous categorie</t>
  </si>
  <si>
    <t xml:space="preserve">categorie </t>
  </si>
  <si>
    <t>Total</t>
  </si>
  <si>
    <t>%</t>
  </si>
  <si>
    <t>Pelco</t>
  </si>
  <si>
    <t>EWON</t>
  </si>
  <si>
    <t>FRITZ</t>
  </si>
  <si>
    <t>Germany</t>
  </si>
  <si>
    <t>https://ewon.biz/technical-support/pages/legacy-products</t>
  </si>
  <si>
    <t>https://www.hms-networks.com/cybersecurity</t>
  </si>
  <si>
    <t>oui (non publiée)</t>
  </si>
  <si>
    <t>https://www.pelco.com/training-support/product-support/</t>
  </si>
  <si>
    <t>https://en.avm.de/service/current-security-notifications/</t>
  </si>
  <si>
    <t>oui(publiée)</t>
  </si>
  <si>
    <t>https://avm.de/service/ende-des-produktsupports-und-der-produktweiterentwicklung/fritzbox/</t>
  </si>
  <si>
    <t>Ewon</t>
  </si>
  <si>
    <t>PELCO</t>
  </si>
  <si>
    <t>Fournisseurs/Marques</t>
  </si>
  <si>
    <t>Categories</t>
  </si>
  <si>
    <t>JUFENG</t>
  </si>
  <si>
    <t>SAITELL</t>
  </si>
  <si>
    <t>MESSOA</t>
  </si>
  <si>
    <t>BESSKY</t>
  </si>
  <si>
    <t>Electovision</t>
  </si>
  <si>
    <t>BOSCH</t>
  </si>
  <si>
    <t>FINEST SECURITY SYSTEM</t>
  </si>
  <si>
    <t>LONGSE</t>
  </si>
  <si>
    <t>kapmax</t>
  </si>
  <si>
    <t>Urmet</t>
  </si>
  <si>
    <t>CANTONK</t>
  </si>
  <si>
    <t>neitway</t>
  </si>
  <si>
    <t>CHAVEGA</t>
  </si>
  <si>
    <t>VICON</t>
  </si>
  <si>
    <t>samsung</t>
  </si>
  <si>
    <t>AVTECH</t>
  </si>
  <si>
    <t>mobotix</t>
  </si>
  <si>
    <t>UNIVIEW</t>
  </si>
  <si>
    <t>FLIR</t>
  </si>
  <si>
    <t>ACTIVA PRO</t>
  </si>
  <si>
    <t>RDS</t>
  </si>
  <si>
    <t>ACTIVA</t>
  </si>
  <si>
    <t>AV TECH</t>
  </si>
  <si>
    <t>FINE</t>
  </si>
  <si>
    <t>SAITELL TECHNOLOGY</t>
  </si>
  <si>
    <t>CANON</t>
  </si>
  <si>
    <t>VISIOSS</t>
  </si>
  <si>
    <t>SHENZHEN</t>
  </si>
  <si>
    <t>FSAN</t>
  </si>
  <si>
    <t>LEVELONE</t>
  </si>
  <si>
    <t>KEDACOM</t>
  </si>
  <si>
    <t>ARH</t>
  </si>
  <si>
    <t>TESWELL</t>
  </si>
  <si>
    <t>PAISAN</t>
  </si>
  <si>
    <t>INTRACOM</t>
  </si>
  <si>
    <t>DOVADO</t>
  </si>
  <si>
    <t>VIOLA</t>
  </si>
  <si>
    <t>ZTE</t>
  </si>
  <si>
    <t>UNV DIGITAL TEHNOLOGIE</t>
  </si>
  <si>
    <t>ch</t>
  </si>
  <si>
    <t>Nombre de produits en phase EoL</t>
  </si>
  <si>
    <t>Année EoL</t>
  </si>
  <si>
    <t>Nombre de produits en phase EoS</t>
  </si>
  <si>
    <t>passé par le CERT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</si>
</sst>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ill Sans"/>
      <family val="2"/>
    </font>
    <font>
      <sz val="11"/>
      <name val="Gill Sans"/>
      <family val="2"/>
    </font>
    <font>
      <sz val="10"/>
      <color rgb="FF444444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2"/>
      <color theme="1"/>
      <name val="Cambria"/>
      <family val="1"/>
      <scheme val="major"/>
    </font>
    <font>
      <i/>
      <sz val="12"/>
      <color rgb="FF444444"/>
      <name val="Cambria"/>
      <family val="1"/>
      <scheme val="major"/>
    </font>
    <font>
      <sz val="12"/>
      <color rgb="FF444444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2"/>
      <color rgb="FF444444"/>
      <name val="Cambria"/>
      <family val="1"/>
      <scheme val="major"/>
    </font>
    <font>
      <b/>
      <sz val="12"/>
      <color theme="1"/>
      <name val="Cambria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1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/>
    <xf numFmtId="0" fontId="0" fillId="7" borderId="7" xfId="0" applyFill="1" applyBorder="1" applyAlignment="1">
      <alignment horizontal="center"/>
    </xf>
    <xf numFmtId="0" fontId="0" fillId="7" borderId="7" xfId="0" applyFill="1" applyBorder="1"/>
    <xf numFmtId="0" fontId="0" fillId="7" borderId="1" xfId="0" applyFill="1" applyBorder="1" applyAlignment="1">
      <alignment horizontal="center"/>
    </xf>
    <xf numFmtId="0" fontId="4" fillId="7" borderId="1" xfId="1" applyFill="1" applyBorder="1"/>
    <xf numFmtId="0" fontId="0" fillId="7" borderId="1" xfId="0" applyFill="1" applyBorder="1"/>
    <xf numFmtId="0" fontId="3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4" fillId="7" borderId="0" xfId="1" applyFill="1"/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4" fillId="8" borderId="1" xfId="1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2" fillId="8" borderId="1" xfId="0" applyFont="1" applyFill="1" applyBorder="1"/>
    <xf numFmtId="0" fontId="0" fillId="8" borderId="7" xfId="0" applyFill="1" applyBorder="1" applyAlignment="1">
      <alignment horizontal="center"/>
    </xf>
    <xf numFmtId="0" fontId="0" fillId="8" borderId="7" xfId="0" applyFill="1" applyBorder="1"/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1" fillId="9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left" vertical="top"/>
    </xf>
    <xf numFmtId="0" fontId="12" fillId="9" borderId="1" xfId="0" applyFont="1" applyFill="1" applyBorder="1" applyAlignment="1">
      <alignment horizontal="left" vertical="top"/>
    </xf>
    <xf numFmtId="14" fontId="14" fillId="9" borderId="1" xfId="0" applyNumberFormat="1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center" vertical="top"/>
    </xf>
    <xf numFmtId="0" fontId="10" fillId="8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top"/>
    </xf>
    <xf numFmtId="0" fontId="12" fillId="8" borderId="1" xfId="0" applyFont="1" applyFill="1" applyBorder="1" applyAlignment="1">
      <alignment horizontal="center" vertical="top"/>
    </xf>
    <xf numFmtId="0" fontId="14" fillId="5" borderId="1" xfId="0" applyFont="1" applyFill="1" applyBorder="1" applyAlignment="1">
      <alignment horizontal="center" vertical="top"/>
    </xf>
    <xf numFmtId="0" fontId="15" fillId="8" borderId="1" xfId="0" applyFont="1" applyFill="1" applyBorder="1" applyAlignment="1">
      <alignment horizontal="center"/>
    </xf>
    <xf numFmtId="0" fontId="0" fillId="0" borderId="0" xfId="0" applyFill="1"/>
    <xf numFmtId="0" fontId="9" fillId="0" borderId="0" xfId="0" applyFont="1" applyFill="1" applyAlignment="1">
      <alignment horizontal="right" vertical="top" wrapText="1"/>
    </xf>
    <xf numFmtId="0" fontId="8" fillId="0" borderId="0" xfId="0" applyFont="1" applyFill="1" applyAlignment="1">
      <alignment horizontal="right" vertical="top"/>
    </xf>
    <xf numFmtId="0" fontId="7" fillId="0" borderId="0" xfId="0" applyFont="1" applyFill="1" applyAlignment="1">
      <alignment horizontal="right" vertical="top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10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4" fillId="7" borderId="7" xfId="1" applyFill="1" applyBorder="1" applyAlignment="1">
      <alignment horizontal="left" vertical="center"/>
    </xf>
    <xf numFmtId="0" fontId="4" fillId="7" borderId="8" xfId="1" applyFill="1" applyBorder="1" applyAlignment="1">
      <alignment horizontal="left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 wrapText="1"/>
    </xf>
    <xf numFmtId="0" fontId="6" fillId="0" borderId="8" xfId="0" applyNumberFormat="1" applyFont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7" xfId="0" applyFill="1" applyBorder="1" applyAlignment="1">
      <alignment horizontal="left" vertical="center"/>
    </xf>
    <xf numFmtId="0" fontId="0" fillId="8" borderId="8" xfId="0" applyFill="1" applyBorder="1" applyAlignment="1">
      <alignment horizontal="left" vertical="center"/>
    </xf>
    <xf numFmtId="0" fontId="0" fillId="8" borderId="11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Fournisseurs/Marques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25"/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fourn!$A$2:$A$17</c:f>
              <c:strCache>
                <c:ptCount val="16"/>
                <c:pt idx="0">
                  <c:v>ACTI</c:v>
                </c:pt>
                <c:pt idx="1">
                  <c:v>AXIS</c:v>
                </c:pt>
                <c:pt idx="2">
                  <c:v>CISCO</c:v>
                </c:pt>
                <c:pt idx="3">
                  <c:v>Comtech</c:v>
                </c:pt>
                <c:pt idx="4">
                  <c:v>D-LINK</c:v>
                </c:pt>
                <c:pt idx="5">
                  <c:v>DAHUA TECHNOLOGY</c:v>
                </c:pt>
                <c:pt idx="6">
                  <c:v>Ewon</c:v>
                </c:pt>
                <c:pt idx="7">
                  <c:v>FRITZ</c:v>
                </c:pt>
                <c:pt idx="8">
                  <c:v>HIKVISION</c:v>
                </c:pt>
                <c:pt idx="9">
                  <c:v>Honeywell</c:v>
                </c:pt>
                <c:pt idx="10">
                  <c:v>HUAWEI</c:v>
                </c:pt>
                <c:pt idx="11">
                  <c:v>Panasonic</c:v>
                </c:pt>
                <c:pt idx="12">
                  <c:v>PELCO</c:v>
                </c:pt>
                <c:pt idx="13">
                  <c:v>SUNELL</c:v>
                </c:pt>
                <c:pt idx="14">
                  <c:v>TP-Link</c:v>
                </c:pt>
                <c:pt idx="15">
                  <c:v>ZYXEL Networks</c:v>
                </c:pt>
              </c:strCache>
            </c:strRef>
          </c:cat>
          <c:val>
            <c:numRef>
              <c:f>fourn!$B$2:$B$17</c:f>
              <c:numCache>
                <c:formatCode>General</c:formatCode>
                <c:ptCount val="16"/>
                <c:pt idx="0">
                  <c:v>440</c:v>
                </c:pt>
                <c:pt idx="1">
                  <c:v>320</c:v>
                </c:pt>
                <c:pt idx="2">
                  <c:v>511</c:v>
                </c:pt>
                <c:pt idx="3">
                  <c:v>50</c:v>
                </c:pt>
                <c:pt idx="4">
                  <c:v>16</c:v>
                </c:pt>
                <c:pt idx="5">
                  <c:v>125</c:v>
                </c:pt>
                <c:pt idx="6">
                  <c:v>21</c:v>
                </c:pt>
                <c:pt idx="7">
                  <c:v>61</c:v>
                </c:pt>
                <c:pt idx="8">
                  <c:v>131</c:v>
                </c:pt>
                <c:pt idx="9">
                  <c:v>1897</c:v>
                </c:pt>
                <c:pt idx="10">
                  <c:v>435</c:v>
                </c:pt>
                <c:pt idx="11">
                  <c:v>769</c:v>
                </c:pt>
                <c:pt idx="12">
                  <c:v>54</c:v>
                </c:pt>
                <c:pt idx="13">
                  <c:v>5</c:v>
                </c:pt>
                <c:pt idx="14">
                  <c:v>223</c:v>
                </c:pt>
                <c:pt idx="15">
                  <c:v>438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Catégories</a:t>
            </a:r>
          </a:p>
        </c:rich>
      </c:tx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categorie!$B$1</c:f>
              <c:strCache>
                <c:ptCount val="1"/>
                <c:pt idx="0">
                  <c:v>Nombre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categorie!$A$2:$A$3</c:f>
              <c:strCache>
                <c:ptCount val="2"/>
                <c:pt idx="0">
                  <c:v>IOT</c:v>
                </c:pt>
                <c:pt idx="1">
                  <c:v>RESEAUX</c:v>
                </c:pt>
              </c:strCache>
            </c:strRef>
          </c:cat>
          <c:val>
            <c:numRef>
              <c:f>categorie!$B$2:$B$3</c:f>
              <c:numCache>
                <c:formatCode>General</c:formatCode>
                <c:ptCount val="2"/>
                <c:pt idx="0">
                  <c:v>4176</c:v>
                </c:pt>
                <c:pt idx="1">
                  <c:v>1320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Sous catégories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'sous categorie'!$A$2:$A$18</c:f>
              <c:strCache>
                <c:ptCount val="17"/>
                <c:pt idx="0">
                  <c:v>ANTENNE WIFI</c:v>
                </c:pt>
                <c:pt idx="1">
                  <c:v>AUTRES</c:v>
                </c:pt>
                <c:pt idx="2">
                  <c:v>CAMERA IP</c:v>
                </c:pt>
                <c:pt idx="3">
                  <c:v>CHASSIS</c:v>
                </c:pt>
                <c:pt idx="4">
                  <c:v>Codeurs / Decodeurs Video</c:v>
                </c:pt>
                <c:pt idx="5">
                  <c:v>Encapsulateurrs/Recepteurs satellitaires</c:v>
                </c:pt>
                <c:pt idx="6">
                  <c:v>FIREWALL</c:v>
                </c:pt>
                <c:pt idx="7">
                  <c:v>IP PBX</c:v>
                </c:pt>
                <c:pt idx="8">
                  <c:v>IP PHONE</c:v>
                </c:pt>
                <c:pt idx="9">
                  <c:v>Modems Satellitaires</c:v>
                </c:pt>
                <c:pt idx="10">
                  <c:v>MODULE/EXTENSION/SLOT/CARTE/INTERFACE</c:v>
                </c:pt>
                <c:pt idx="11">
                  <c:v>Plateformes de réseau satellitaires</c:v>
                </c:pt>
                <c:pt idx="12">
                  <c:v>POINTS D'ACCES</c:v>
                </c:pt>
                <c:pt idx="13">
                  <c:v>ROUTEURS</c:v>
                </c:pt>
                <c:pt idx="14">
                  <c:v>SOFTWARE-IOT</c:v>
                </c:pt>
                <c:pt idx="15">
                  <c:v>Solutions VSAT avancées</c:v>
                </c:pt>
                <c:pt idx="16">
                  <c:v>SWITCHS</c:v>
                </c:pt>
              </c:strCache>
            </c:strRef>
          </c:cat>
          <c:val>
            <c:numRef>
              <c:f>'sous categorie'!$B$2:$B$18</c:f>
              <c:numCache>
                <c:formatCode>General</c:formatCode>
                <c:ptCount val="17"/>
                <c:pt idx="0">
                  <c:v>1</c:v>
                </c:pt>
                <c:pt idx="1">
                  <c:v>328</c:v>
                </c:pt>
                <c:pt idx="2">
                  <c:v>3739</c:v>
                </c:pt>
                <c:pt idx="3">
                  <c:v>1</c:v>
                </c:pt>
                <c:pt idx="4">
                  <c:v>29</c:v>
                </c:pt>
                <c:pt idx="5">
                  <c:v>8</c:v>
                </c:pt>
                <c:pt idx="6">
                  <c:v>22</c:v>
                </c:pt>
                <c:pt idx="7">
                  <c:v>9</c:v>
                </c:pt>
                <c:pt idx="8">
                  <c:v>34</c:v>
                </c:pt>
                <c:pt idx="9">
                  <c:v>38</c:v>
                </c:pt>
                <c:pt idx="10">
                  <c:v>89</c:v>
                </c:pt>
                <c:pt idx="11">
                  <c:v>2</c:v>
                </c:pt>
                <c:pt idx="12">
                  <c:v>154</c:v>
                </c:pt>
                <c:pt idx="13">
                  <c:v>601</c:v>
                </c:pt>
                <c:pt idx="14">
                  <c:v>1</c:v>
                </c:pt>
                <c:pt idx="15">
                  <c:v>2</c:v>
                </c:pt>
                <c:pt idx="16">
                  <c:v>438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Nombre</a:t>
            </a:r>
            <a:r>
              <a:rPr lang="fr-FR" baseline="0"/>
              <a:t> des produits en phase EoL/EoS par année</a:t>
            </a:r>
            <a:endParaRPr lang="fr-FR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eoleos!$B$1</c:f>
              <c:strCache>
                <c:ptCount val="1"/>
                <c:pt idx="0">
                  <c:v>Nombre de produits en phase EoL</c:v>
                </c:pt>
              </c:strCache>
            </c:strRef>
          </c:tx>
          <c:invertIfNegative val="0"/>
          <c:cat>
            <c:numRef>
              <c:f>eoleos!$A$2:$A$24</c:f>
              <c:numCache>
                <c:formatCode>General</c:formatCode>
                <c:ptCount val="23"/>
                <c:pt idx="0">
                  <c:v>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eoleos!$B$2:$B$24</c:f>
              <c:numCache>
                <c:formatCode>General</c:formatCode>
                <c:ptCount val="23"/>
                <c:pt idx="0">
                  <c:v>1565</c:v>
                </c:pt>
                <c:pt idx="1">
                  <c:v>1</c:v>
                </c:pt>
                <c:pt idx="2">
                  <c:v>1</c:v>
                </c:pt>
                <c:pt idx="3">
                  <c:v>10</c:v>
                </c:pt>
                <c:pt idx="4">
                  <c:v>37</c:v>
                </c:pt>
                <c:pt idx="5">
                  <c:v>49</c:v>
                </c:pt>
                <c:pt idx="6">
                  <c:v>28</c:v>
                </c:pt>
                <c:pt idx="7">
                  <c:v>75</c:v>
                </c:pt>
                <c:pt idx="8">
                  <c:v>36</c:v>
                </c:pt>
                <c:pt idx="9">
                  <c:v>119</c:v>
                </c:pt>
                <c:pt idx="10">
                  <c:v>622</c:v>
                </c:pt>
                <c:pt idx="11">
                  <c:v>605</c:v>
                </c:pt>
                <c:pt idx="12">
                  <c:v>366</c:v>
                </c:pt>
                <c:pt idx="13">
                  <c:v>547</c:v>
                </c:pt>
                <c:pt idx="14">
                  <c:v>612</c:v>
                </c:pt>
                <c:pt idx="15">
                  <c:v>75</c:v>
                </c:pt>
                <c:pt idx="16">
                  <c:v>73</c:v>
                </c:pt>
                <c:pt idx="17">
                  <c:v>177</c:v>
                </c:pt>
                <c:pt idx="18">
                  <c:v>60</c:v>
                </c:pt>
                <c:pt idx="19">
                  <c:v>63</c:v>
                </c:pt>
                <c:pt idx="20">
                  <c:v>90</c:v>
                </c:pt>
                <c:pt idx="21">
                  <c:v>161</c:v>
                </c:pt>
                <c:pt idx="22">
                  <c:v>124</c:v>
                </c:pt>
              </c:numCache>
            </c:numRef>
          </c:val>
        </c:ser>
        <c:ser>
          <c:idx val="1"/>
          <c:order val="1"/>
          <c:tx>
            <c:strRef>
              <c:f>eoleos!$C$1</c:f>
              <c:strCache>
                <c:ptCount val="1"/>
                <c:pt idx="0">
                  <c:v>Nombre de produits en phase EoS</c:v>
                </c:pt>
              </c:strCache>
            </c:strRef>
          </c:tx>
          <c:invertIfNegative val="0"/>
          <c:cat>
            <c:numRef>
              <c:f>eoleos!$A$2:$A$24</c:f>
              <c:numCache>
                <c:formatCode>General</c:formatCode>
                <c:ptCount val="23"/>
                <c:pt idx="0">
                  <c:v>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eoleos!$C$2:$C$24</c:f>
              <c:numCache>
                <c:formatCode>General</c:formatCode>
                <c:ptCount val="23"/>
                <c:pt idx="0">
                  <c:v>3919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21</c:v>
                </c:pt>
                <c:pt idx="5">
                  <c:v>55</c:v>
                </c:pt>
                <c:pt idx="6">
                  <c:v>7</c:v>
                </c:pt>
                <c:pt idx="7">
                  <c:v>20</c:v>
                </c:pt>
                <c:pt idx="8">
                  <c:v>52</c:v>
                </c:pt>
                <c:pt idx="9">
                  <c:v>26</c:v>
                </c:pt>
                <c:pt idx="10">
                  <c:v>30</c:v>
                </c:pt>
                <c:pt idx="11">
                  <c:v>37</c:v>
                </c:pt>
                <c:pt idx="12">
                  <c:v>45</c:v>
                </c:pt>
                <c:pt idx="13">
                  <c:v>300</c:v>
                </c:pt>
                <c:pt idx="14">
                  <c:v>261</c:v>
                </c:pt>
                <c:pt idx="15">
                  <c:v>42</c:v>
                </c:pt>
                <c:pt idx="16">
                  <c:v>36</c:v>
                </c:pt>
                <c:pt idx="17">
                  <c:v>131</c:v>
                </c:pt>
                <c:pt idx="18">
                  <c:v>67</c:v>
                </c:pt>
                <c:pt idx="19">
                  <c:v>64</c:v>
                </c:pt>
                <c:pt idx="20">
                  <c:v>90</c:v>
                </c:pt>
                <c:pt idx="21">
                  <c:v>163</c:v>
                </c:pt>
                <c:pt idx="22">
                  <c:v>124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468928"/>
        <c:axId val="111470464"/>
      </c:barChart>
      <c:catAx>
        <c:axId val="11146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1470464"/>
        <c:crosses val="autoZero"/>
        <c:auto val="1"/>
        <c:lblAlgn val="ctr"/>
        <c:lblOffset val="100"/>
        <c:noMultiLvlLbl val="0"/>
      </c:catAx>
      <c:valAx>
        <c:axId val="1114704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1468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609601</xdr:colOff>
      <xdr:row>1</xdr:row>
      <xdr:rowOff>104775</xdr:rowOff>
    </xdr:from>
    <xdr:to>
      <xdr:col>11</xdr:col>
      <xdr:colOff>76200</xdr:colOff>
      <xdr:row>28</xdr:row>
      <xdr:rowOff>123825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5</xdr:row>
      <xdr:rowOff>66675</xdr:rowOff>
    </xdr:from>
    <xdr:to>
      <xdr:col>9</xdr:col>
      <xdr:colOff>485775</xdr:colOff>
      <xdr:row>21</xdr:row>
      <xdr:rowOff>161925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123824</xdr:colOff>
      <xdr:row>4</xdr:row>
      <xdr:rowOff>104775</xdr:rowOff>
    </xdr:from>
    <xdr:to>
      <xdr:col>11</xdr:col>
      <xdr:colOff>152399</xdr:colOff>
      <xdr:row>33</xdr:row>
      <xdr:rowOff>28575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2</xdr:row>
      <xdr:rowOff>9525</xdr:rowOff>
    </xdr:from>
    <xdr:to>
      <xdr:col>14</xdr:col>
      <xdr:colOff>123824</xdr:colOff>
      <xdr:row>29</xdr:row>
      <xdr:rowOff>57150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ikvision.com/Support/Cybersecurity-Center/Security-Advisory" TargetMode="External"/><Relationship Id="rId13" Type="http://schemas.openxmlformats.org/officeDocument/2006/relationships/hyperlink" Target="https://www.tp-link.com/us/support/replacement-warranty/" TargetMode="External"/><Relationship Id="rId18" Type="http://schemas.openxmlformats.org/officeDocument/2006/relationships/hyperlink" Target="https://www.comtechefdata.com/products/discontinued-products" TargetMode="External"/><Relationship Id="rId3" Type="http://schemas.openxmlformats.org/officeDocument/2006/relationships/hyperlink" Target="https://www.axis.com/fr/support/product-security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us.hikvision.com/en/products/more-products/discontinued-products" TargetMode="External"/><Relationship Id="rId12" Type="http://schemas.openxmlformats.org/officeDocument/2006/relationships/hyperlink" Target="https://serviceexpress.com/resources/eol-eosl-database/d-link/" TargetMode="External"/><Relationship Id="rId17" Type="http://schemas.openxmlformats.org/officeDocument/2006/relationships/hyperlink" Target="https://education.zyxel.com/newsletter/published/phaseout/phaseout.htm" TargetMode="External"/><Relationship Id="rId2" Type="http://schemas.openxmlformats.org/officeDocument/2006/relationships/hyperlink" Target="https://www.cisco.com/c/en/us/products/routers/eos-eol-listing.html" TargetMode="External"/><Relationship Id="rId16" Type="http://schemas.openxmlformats.org/officeDocument/2006/relationships/hyperlink" Target="https://www.zyxel.com/support/security_advisories.shtml" TargetMode="External"/><Relationship Id="rId20" Type="http://schemas.openxmlformats.org/officeDocument/2006/relationships/hyperlink" Target="https://www.security.honeywell.com/uk/resources/technical-support/eol-and-security-notices" TargetMode="External"/><Relationship Id="rId1" Type="http://schemas.openxmlformats.org/officeDocument/2006/relationships/hyperlink" Target="https://tools.cisco.com/security/center/publicationListing.x" TargetMode="External"/><Relationship Id="rId6" Type="http://schemas.openxmlformats.org/officeDocument/2006/relationships/hyperlink" Target="https://us.dahuasecurity.com/product-category/end-of-life/" TargetMode="External"/><Relationship Id="rId11" Type="http://schemas.openxmlformats.org/officeDocument/2006/relationships/hyperlink" Target="https://www.dlink.com/en/security-bulletin" TargetMode="External"/><Relationship Id="rId5" Type="http://schemas.openxmlformats.org/officeDocument/2006/relationships/hyperlink" Target="https://www.dahuasecurity.com/support/cybersecurity/annoucementNotice" TargetMode="External"/><Relationship Id="rId15" Type="http://schemas.openxmlformats.org/officeDocument/2006/relationships/hyperlink" Target="https://www.tp-link.com/us/press/security-advisory/" TargetMode="External"/><Relationship Id="rId10" Type="http://schemas.openxmlformats.org/officeDocument/2006/relationships/hyperlink" Target="https://support.huawei.com/enterprise/en/bulletins-product/life-cycle-notices/" TargetMode="External"/><Relationship Id="rId19" Type="http://schemas.openxmlformats.org/officeDocument/2006/relationships/hyperlink" Target="https://security.panasonic.com/training_support/support/" TargetMode="External"/><Relationship Id="rId4" Type="http://schemas.openxmlformats.org/officeDocument/2006/relationships/hyperlink" Target="https://www.axis.com/en-rs/support/product-support/discontinued-products" TargetMode="External"/><Relationship Id="rId9" Type="http://schemas.openxmlformats.org/officeDocument/2006/relationships/hyperlink" Target="https://www.huawei.com/en/psirt/all-bulletins" TargetMode="External"/><Relationship Id="rId14" Type="http://schemas.openxmlformats.org/officeDocument/2006/relationships/hyperlink" Target="http://www.linkdataguard.com/TP-Link-EOL.as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63"/>
  <sheetViews>
    <sheetView topLeftCell="A37" zoomScale="85" zoomScaleNormal="85" workbookViewId="0">
      <selection activeCell="A47" sqref="A47"/>
    </sheetView>
  </sheetViews>
  <sheetFormatPr baseColWidth="10" defaultRowHeight="15"/>
  <cols>
    <col min="1" max="1" width="47.7109375" style="8" customWidth="1"/>
    <col min="2" max="2" width="10.28515625" style="8" bestFit="1" customWidth="1"/>
    <col min="3" max="3" width="28.28515625" style="8" bestFit="1" customWidth="1"/>
    <col min="4" max="4" width="87.85546875" bestFit="1" customWidth="1"/>
    <col min="5" max="5" width="8.5703125" style="8" bestFit="1" customWidth="1"/>
    <col min="6" max="6" width="22.5703125" style="8" bestFit="1" customWidth="1"/>
    <col min="7" max="7" width="22.42578125" style="8" bestFit="1" customWidth="1"/>
    <col min="8" max="8" width="128.5703125" bestFit="1" customWidth="1"/>
    <col min="9" max="9" width="23" bestFit="1" customWidth="1"/>
    <col min="10" max="10" width="23.28515625" customWidth="1"/>
    <col min="11" max="11" width="19.42578125" style="8" bestFit="1" customWidth="1"/>
    <col min="12" max="12" width="15.5703125" style="8" bestFit="1" customWidth="1"/>
    <col min="13" max="13" width="65.85546875" bestFit="1" customWidth="1"/>
  </cols>
  <sheetData>
    <row r="1" spans="1:75" ht="38.25" customHeight="1">
      <c r="A1" s="1"/>
      <c r="B1" s="1"/>
      <c r="C1" s="64" t="s">
        <v>0</v>
      </c>
      <c r="D1" s="65"/>
      <c r="E1" s="66"/>
      <c r="F1" s="67" t="s">
        <v>1</v>
      </c>
      <c r="G1" s="68"/>
      <c r="H1" s="68"/>
      <c r="I1" s="68"/>
      <c r="J1" s="68"/>
      <c r="K1" s="68"/>
      <c r="L1" s="68"/>
    </row>
    <row r="2" spans="1:75" s="3" customFormat="1" ht="26.25" customHeight="1">
      <c r="A2" s="2" t="s">
        <v>2</v>
      </c>
      <c r="B2" s="2" t="s">
        <v>3</v>
      </c>
      <c r="C2" s="30" t="s">
        <v>4</v>
      </c>
      <c r="D2" s="30" t="s">
        <v>5</v>
      </c>
      <c r="E2" s="30" t="s">
        <v>6</v>
      </c>
      <c r="F2" s="34" t="s">
        <v>7</v>
      </c>
      <c r="G2" s="34" t="s">
        <v>8</v>
      </c>
      <c r="H2" s="34" t="s">
        <v>5</v>
      </c>
      <c r="I2" s="35" t="s">
        <v>9</v>
      </c>
      <c r="J2" s="36" t="s">
        <v>10</v>
      </c>
      <c r="K2" s="36" t="s">
        <v>11</v>
      </c>
      <c r="L2" s="36" t="s">
        <v>12</v>
      </c>
      <c r="M2" s="15" t="s">
        <v>66</v>
      </c>
    </row>
    <row r="3" spans="1:75" ht="27.75" customHeight="1">
      <c r="A3" s="1" t="s">
        <v>13</v>
      </c>
      <c r="B3" s="1" t="s">
        <v>14</v>
      </c>
      <c r="C3" s="31" t="s">
        <v>15</v>
      </c>
      <c r="D3" s="28" t="s">
        <v>16</v>
      </c>
      <c r="E3" s="31" t="s">
        <v>15</v>
      </c>
      <c r="F3" s="37" t="s">
        <v>17</v>
      </c>
      <c r="G3" s="37" t="s">
        <v>17</v>
      </c>
      <c r="H3" s="38" t="s">
        <v>18</v>
      </c>
      <c r="I3" s="37" t="s">
        <v>19</v>
      </c>
      <c r="J3" s="39" t="s">
        <v>20</v>
      </c>
      <c r="K3" s="40" t="s">
        <v>21</v>
      </c>
      <c r="L3" s="40" t="s">
        <v>22</v>
      </c>
      <c r="M3" s="6"/>
    </row>
    <row r="4" spans="1:75" ht="33.75" customHeight="1">
      <c r="A4" s="1" t="s">
        <v>23</v>
      </c>
      <c r="B4" s="1" t="s">
        <v>24</v>
      </c>
      <c r="C4" s="31" t="s">
        <v>15</v>
      </c>
      <c r="D4" s="28" t="s">
        <v>25</v>
      </c>
      <c r="E4" s="31" t="s">
        <v>26</v>
      </c>
      <c r="F4" s="37" t="s">
        <v>27</v>
      </c>
      <c r="G4" s="37" t="s">
        <v>56</v>
      </c>
      <c r="H4" s="38" t="s">
        <v>29</v>
      </c>
      <c r="I4" s="37" t="s">
        <v>19</v>
      </c>
      <c r="J4" s="39" t="s">
        <v>30</v>
      </c>
      <c r="K4" s="40" t="s">
        <v>21</v>
      </c>
      <c r="L4" s="40" t="s">
        <v>31</v>
      </c>
      <c r="M4" s="6"/>
    </row>
    <row r="5" spans="1:75" ht="27" customHeight="1">
      <c r="A5" s="1" t="s">
        <v>32</v>
      </c>
      <c r="B5" s="1" t="s">
        <v>14</v>
      </c>
      <c r="C5" s="31" t="s">
        <v>15</v>
      </c>
      <c r="D5" s="28" t="s">
        <v>33</v>
      </c>
      <c r="E5" s="31" t="s">
        <v>15</v>
      </c>
      <c r="F5" s="37" t="s">
        <v>27</v>
      </c>
      <c r="G5" s="37" t="s">
        <v>28</v>
      </c>
      <c r="H5" s="38" t="s">
        <v>34</v>
      </c>
      <c r="I5" s="37" t="s">
        <v>19</v>
      </c>
      <c r="J5" s="39" t="s">
        <v>30</v>
      </c>
      <c r="K5" s="40" t="s">
        <v>21</v>
      </c>
      <c r="L5" s="40" t="s">
        <v>31</v>
      </c>
      <c r="M5" s="6"/>
    </row>
    <row r="6" spans="1:75" ht="30.75" customHeight="1">
      <c r="A6" s="1" t="s">
        <v>35</v>
      </c>
      <c r="B6" s="1" t="s">
        <v>36</v>
      </c>
      <c r="C6" s="31" t="s">
        <v>15</v>
      </c>
      <c r="D6" s="28" t="s">
        <v>37</v>
      </c>
      <c r="E6" s="31" t="s">
        <v>26</v>
      </c>
      <c r="F6" s="37" t="s">
        <v>27</v>
      </c>
      <c r="G6" s="37" t="s">
        <v>28</v>
      </c>
      <c r="H6" s="38" t="s">
        <v>38</v>
      </c>
      <c r="I6" s="37" t="s">
        <v>19</v>
      </c>
      <c r="J6" s="39" t="s">
        <v>30</v>
      </c>
      <c r="K6" s="40" t="s">
        <v>21</v>
      </c>
      <c r="L6" s="40" t="s">
        <v>31</v>
      </c>
      <c r="M6" s="6"/>
    </row>
    <row r="7" spans="1:75" ht="30.75" customHeight="1">
      <c r="A7" s="1" t="s">
        <v>39</v>
      </c>
      <c r="B7" s="1" t="s">
        <v>36</v>
      </c>
      <c r="C7" s="31" t="s">
        <v>15</v>
      </c>
      <c r="D7" s="28" t="s">
        <v>40</v>
      </c>
      <c r="E7" s="31" t="s">
        <v>28</v>
      </c>
      <c r="F7" s="37" t="s">
        <v>41</v>
      </c>
      <c r="G7" s="37" t="s">
        <v>42</v>
      </c>
      <c r="H7" s="38" t="s">
        <v>43</v>
      </c>
      <c r="I7" s="37" t="s">
        <v>19</v>
      </c>
      <c r="J7" s="39" t="s">
        <v>44</v>
      </c>
      <c r="K7" s="40" t="s">
        <v>21</v>
      </c>
      <c r="L7" s="40" t="s">
        <v>45</v>
      </c>
      <c r="M7" s="6" t="s">
        <v>57</v>
      </c>
    </row>
    <row r="8" spans="1:75" ht="30" customHeight="1">
      <c r="A8" s="71" t="s">
        <v>58</v>
      </c>
      <c r="B8" s="73" t="s">
        <v>36</v>
      </c>
      <c r="C8" s="77" t="s">
        <v>15</v>
      </c>
      <c r="D8" s="79" t="s">
        <v>63</v>
      </c>
      <c r="E8" s="77" t="s">
        <v>26</v>
      </c>
      <c r="F8" s="69" t="s">
        <v>59</v>
      </c>
      <c r="G8" s="70"/>
      <c r="H8" s="38" t="s">
        <v>60</v>
      </c>
      <c r="I8" s="37" t="s">
        <v>19</v>
      </c>
      <c r="J8" s="89" t="s">
        <v>52</v>
      </c>
      <c r="K8" s="75" t="s">
        <v>21</v>
      </c>
      <c r="L8" s="87" t="s">
        <v>45</v>
      </c>
      <c r="M8" s="6"/>
    </row>
    <row r="9" spans="1:75" ht="25.5" customHeight="1">
      <c r="A9" s="72"/>
      <c r="B9" s="74"/>
      <c r="C9" s="78"/>
      <c r="D9" s="80"/>
      <c r="E9" s="78"/>
      <c r="F9" s="37" t="s">
        <v>62</v>
      </c>
      <c r="G9" s="37" t="s">
        <v>28</v>
      </c>
      <c r="H9" s="38" t="s">
        <v>61</v>
      </c>
      <c r="I9" s="37" t="s">
        <v>51</v>
      </c>
      <c r="J9" s="90"/>
      <c r="K9" s="76"/>
      <c r="L9" s="88"/>
      <c r="M9" s="6"/>
    </row>
    <row r="10" spans="1:75" ht="15.75">
      <c r="A10" s="73" t="s">
        <v>46</v>
      </c>
      <c r="B10" s="73" t="s">
        <v>47</v>
      </c>
      <c r="C10" s="77" t="s">
        <v>48</v>
      </c>
      <c r="D10" s="79" t="s">
        <v>49</v>
      </c>
      <c r="E10" s="77" t="s">
        <v>26</v>
      </c>
      <c r="F10" s="37" t="s">
        <v>28</v>
      </c>
      <c r="G10" s="37" t="s">
        <v>28</v>
      </c>
      <c r="H10" s="38" t="s">
        <v>50</v>
      </c>
      <c r="I10" s="37" t="s">
        <v>51</v>
      </c>
      <c r="J10" s="39" t="s">
        <v>52</v>
      </c>
      <c r="K10" s="40" t="s">
        <v>21</v>
      </c>
      <c r="L10" s="40" t="s">
        <v>31</v>
      </c>
      <c r="M10" s="6"/>
    </row>
    <row r="11" spans="1:75" s="4" customFormat="1" ht="15.75">
      <c r="A11" s="74"/>
      <c r="B11" s="74"/>
      <c r="C11" s="78"/>
      <c r="D11" s="80"/>
      <c r="E11" s="78"/>
      <c r="F11" s="37" t="s">
        <v>53</v>
      </c>
      <c r="G11" s="37"/>
      <c r="H11" s="41" t="s">
        <v>54</v>
      </c>
      <c r="I11" s="37" t="s">
        <v>51</v>
      </c>
      <c r="J11" s="37"/>
      <c r="K11" s="37" t="s">
        <v>55</v>
      </c>
      <c r="L11" s="40"/>
      <c r="M11" s="16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5"/>
    </row>
    <row r="12" spans="1:75" s="14" customFormat="1" ht="38.25" customHeight="1">
      <c r="A12" s="19" t="s">
        <v>64</v>
      </c>
      <c r="B12" s="10" t="s">
        <v>65</v>
      </c>
      <c r="C12" s="10" t="s">
        <v>28</v>
      </c>
      <c r="D12" s="11"/>
      <c r="E12" s="10" t="s">
        <v>28</v>
      </c>
      <c r="F12" s="10" t="s">
        <v>28</v>
      </c>
      <c r="G12" s="10" t="s">
        <v>28</v>
      </c>
      <c r="H12" s="11"/>
      <c r="I12" s="11"/>
      <c r="J12" s="13"/>
      <c r="K12" s="12"/>
      <c r="L12" s="12"/>
      <c r="M12" s="13" t="s">
        <v>67</v>
      </c>
    </row>
    <row r="13" spans="1:75" ht="33" customHeight="1">
      <c r="A13" s="17" t="s">
        <v>69</v>
      </c>
      <c r="B13" s="18" t="s">
        <v>47</v>
      </c>
      <c r="C13" s="31" t="s">
        <v>15</v>
      </c>
      <c r="D13" s="33" t="s">
        <v>68</v>
      </c>
      <c r="E13" s="31" t="s">
        <v>26</v>
      </c>
      <c r="F13" s="37" t="s">
        <v>15</v>
      </c>
      <c r="G13" s="37" t="s">
        <v>15</v>
      </c>
      <c r="H13" s="38" t="s">
        <v>70</v>
      </c>
      <c r="I13" s="42" t="s">
        <v>19</v>
      </c>
      <c r="J13" s="39"/>
      <c r="K13" s="40" t="s">
        <v>21</v>
      </c>
      <c r="L13" s="40" t="s">
        <v>81</v>
      </c>
      <c r="M13" s="6"/>
    </row>
    <row r="14" spans="1:75" ht="33" customHeight="1">
      <c r="A14" s="1" t="s">
        <v>71</v>
      </c>
      <c r="B14" s="17" t="s">
        <v>14</v>
      </c>
      <c r="C14" s="31" t="s">
        <v>74</v>
      </c>
      <c r="D14" s="32"/>
      <c r="E14" s="31" t="s">
        <v>75</v>
      </c>
      <c r="F14" s="69" t="s">
        <v>72</v>
      </c>
      <c r="G14" s="70"/>
      <c r="H14" s="38" t="s">
        <v>73</v>
      </c>
      <c r="I14" s="42" t="s">
        <v>19</v>
      </c>
      <c r="J14" s="39"/>
      <c r="K14" s="40"/>
      <c r="L14" s="40"/>
      <c r="M14" s="6"/>
    </row>
    <row r="15" spans="1:75" s="14" customFormat="1" ht="26.25" customHeight="1">
      <c r="A15" s="12" t="s">
        <v>76</v>
      </c>
      <c r="B15" s="12" t="s">
        <v>47</v>
      </c>
      <c r="C15" s="10" t="s">
        <v>74</v>
      </c>
      <c r="D15" s="13"/>
      <c r="E15" s="12" t="s">
        <v>15</v>
      </c>
      <c r="F15" s="12" t="s">
        <v>77</v>
      </c>
      <c r="G15" s="12" t="s">
        <v>77</v>
      </c>
      <c r="H15" s="13"/>
      <c r="I15" s="13"/>
      <c r="J15" s="13"/>
      <c r="K15" s="12"/>
      <c r="L15" s="12"/>
      <c r="M15" s="13"/>
    </row>
    <row r="16" spans="1:75" ht="32.25" customHeight="1">
      <c r="A16" s="85" t="s">
        <v>78</v>
      </c>
      <c r="B16" s="83" t="s">
        <v>79</v>
      </c>
      <c r="C16" s="81" t="s">
        <v>75</v>
      </c>
      <c r="D16" s="28" t="s">
        <v>82</v>
      </c>
      <c r="E16" s="27" t="s">
        <v>77</v>
      </c>
      <c r="F16" s="91" t="s">
        <v>72</v>
      </c>
      <c r="G16" s="92"/>
      <c r="H16" s="87" t="s">
        <v>80</v>
      </c>
      <c r="I16" s="87" t="s">
        <v>19</v>
      </c>
      <c r="J16" s="39"/>
      <c r="K16" s="87" t="s">
        <v>86</v>
      </c>
      <c r="L16" s="40"/>
      <c r="M16" s="6"/>
    </row>
    <row r="17" spans="1:13" ht="32.25" customHeight="1">
      <c r="A17" s="86"/>
      <c r="B17" s="84"/>
      <c r="C17" s="82"/>
      <c r="D17" s="28" t="s">
        <v>85</v>
      </c>
      <c r="E17" s="27" t="s">
        <v>26</v>
      </c>
      <c r="F17" s="93"/>
      <c r="G17" s="94"/>
      <c r="H17" s="88"/>
      <c r="I17" s="88"/>
      <c r="J17" s="39"/>
      <c r="K17" s="88"/>
      <c r="L17" s="40"/>
      <c r="M17" s="6"/>
    </row>
    <row r="18" spans="1:13" s="14" customFormat="1" ht="31.5" customHeight="1">
      <c r="A18" s="20" t="s">
        <v>83</v>
      </c>
      <c r="B18" s="12" t="s">
        <v>47</v>
      </c>
      <c r="C18" s="12"/>
      <c r="D18" s="13"/>
      <c r="E18" s="12"/>
      <c r="F18" s="12"/>
      <c r="G18" s="12"/>
      <c r="H18" s="13"/>
      <c r="I18" s="13"/>
      <c r="J18" s="13"/>
      <c r="K18" s="12"/>
      <c r="L18" s="12"/>
      <c r="M18" s="13"/>
    </row>
    <row r="19" spans="1:13" s="14" customFormat="1" ht="34.5" customHeight="1">
      <c r="A19" s="20" t="s">
        <v>84</v>
      </c>
      <c r="B19" s="12" t="s">
        <v>14</v>
      </c>
      <c r="C19" s="12"/>
      <c r="D19" s="13"/>
      <c r="E19" s="12"/>
      <c r="F19" s="12"/>
      <c r="G19" s="12"/>
      <c r="H19" s="13"/>
      <c r="I19" s="13"/>
      <c r="J19" s="13"/>
      <c r="K19" s="12"/>
      <c r="L19" s="12"/>
      <c r="M19" s="13"/>
    </row>
    <row r="20" spans="1:13" ht="31.5" customHeight="1">
      <c r="A20" s="22" t="s">
        <v>87</v>
      </c>
      <c r="B20" s="22" t="s">
        <v>47</v>
      </c>
      <c r="C20" s="25" t="s">
        <v>74</v>
      </c>
      <c r="D20" s="26"/>
      <c r="E20" s="25" t="s">
        <v>88</v>
      </c>
      <c r="F20" s="43" t="s">
        <v>89</v>
      </c>
      <c r="G20" s="43" t="s">
        <v>89</v>
      </c>
      <c r="H20" s="44" t="s">
        <v>90</v>
      </c>
      <c r="I20" s="44" t="s">
        <v>19</v>
      </c>
      <c r="J20" s="43" t="s">
        <v>91</v>
      </c>
      <c r="K20" s="43" t="s">
        <v>86</v>
      </c>
      <c r="L20" s="43" t="s">
        <v>31</v>
      </c>
    </row>
    <row r="21" spans="1:13" s="6" customFormat="1" ht="32.25" customHeight="1">
      <c r="A21" s="21" t="s">
        <v>92</v>
      </c>
      <c r="B21" s="21" t="s">
        <v>93</v>
      </c>
      <c r="C21" s="27" t="s">
        <v>94</v>
      </c>
      <c r="D21" s="28" t="s">
        <v>95</v>
      </c>
      <c r="E21" s="27" t="s">
        <v>77</v>
      </c>
      <c r="F21" s="40" t="s">
        <v>89</v>
      </c>
      <c r="G21" s="40" t="s">
        <v>89</v>
      </c>
      <c r="H21" s="39" t="s">
        <v>95</v>
      </c>
      <c r="I21" s="39" t="s">
        <v>19</v>
      </c>
      <c r="J21" s="40" t="s">
        <v>91</v>
      </c>
      <c r="K21" s="40" t="s">
        <v>21</v>
      </c>
      <c r="L21" s="40" t="s">
        <v>81</v>
      </c>
    </row>
    <row r="22" spans="1:13" ht="26.25" customHeight="1">
      <c r="A22" s="21" t="s">
        <v>128</v>
      </c>
      <c r="B22" s="21" t="s">
        <v>14</v>
      </c>
      <c r="C22" s="27" t="s">
        <v>77</v>
      </c>
      <c r="D22" s="29"/>
      <c r="E22" s="27" t="s">
        <v>77</v>
      </c>
      <c r="F22" s="40" t="s">
        <v>89</v>
      </c>
      <c r="G22" s="40" t="s">
        <v>77</v>
      </c>
      <c r="H22" s="39" t="s">
        <v>135</v>
      </c>
      <c r="I22" s="39" t="s">
        <v>19</v>
      </c>
      <c r="J22" s="40" t="s">
        <v>91</v>
      </c>
      <c r="K22" s="40" t="s">
        <v>21</v>
      </c>
      <c r="L22" s="40" t="s">
        <v>81</v>
      </c>
    </row>
    <row r="23" spans="1:13" ht="30.75" customHeight="1">
      <c r="A23" s="21" t="s">
        <v>129</v>
      </c>
      <c r="B23" s="1" t="s">
        <v>24</v>
      </c>
      <c r="C23" s="27" t="s">
        <v>75</v>
      </c>
      <c r="D23" s="29" t="s">
        <v>133</v>
      </c>
      <c r="E23" s="27" t="s">
        <v>75</v>
      </c>
      <c r="F23" s="40" t="s">
        <v>134</v>
      </c>
      <c r="G23" s="40" t="s">
        <v>77</v>
      </c>
      <c r="H23" s="39" t="s">
        <v>132</v>
      </c>
      <c r="I23" s="39" t="s">
        <v>19</v>
      </c>
      <c r="J23" s="40" t="s">
        <v>91</v>
      </c>
      <c r="K23" s="40" t="s">
        <v>21</v>
      </c>
      <c r="L23" s="40" t="s">
        <v>81</v>
      </c>
    </row>
    <row r="24" spans="1:13" ht="30.75" customHeight="1">
      <c r="A24" s="21" t="s">
        <v>130</v>
      </c>
      <c r="B24" s="21" t="s">
        <v>131</v>
      </c>
      <c r="C24" s="27" t="s">
        <v>75</v>
      </c>
      <c r="D24" s="29" t="s">
        <v>136</v>
      </c>
      <c r="E24" s="27" t="s">
        <v>88</v>
      </c>
      <c r="F24" s="40" t="s">
        <v>137</v>
      </c>
      <c r="G24" s="40" t="s">
        <v>137</v>
      </c>
      <c r="H24" s="39" t="s">
        <v>138</v>
      </c>
      <c r="I24" s="39" t="s">
        <v>19</v>
      </c>
      <c r="J24" s="40" t="s">
        <v>91</v>
      </c>
      <c r="K24" s="40" t="s">
        <v>21</v>
      </c>
      <c r="L24" s="40" t="s">
        <v>81</v>
      </c>
    </row>
    <row r="25" spans="1:13" ht="30.75" customHeight="1">
      <c r="A25" s="12" t="s">
        <v>143</v>
      </c>
      <c r="B25" s="12"/>
      <c r="C25" s="12"/>
      <c r="D25" s="13"/>
      <c r="E25" s="12"/>
      <c r="F25" s="12"/>
      <c r="G25" s="12"/>
      <c r="H25" s="13"/>
      <c r="I25" s="13"/>
      <c r="J25" s="12"/>
      <c r="K25" s="12"/>
      <c r="L25" s="12"/>
    </row>
    <row r="26" spans="1:13" ht="30.75" customHeight="1">
      <c r="A26" s="12" t="s">
        <v>144</v>
      </c>
      <c r="B26" s="12"/>
      <c r="C26" s="12"/>
      <c r="D26" s="13"/>
      <c r="E26" s="12"/>
      <c r="F26" s="12"/>
      <c r="G26" s="12"/>
      <c r="H26" s="13"/>
      <c r="I26" s="13"/>
      <c r="J26" s="12"/>
      <c r="K26" s="12"/>
      <c r="L26" s="12"/>
    </row>
    <row r="27" spans="1:13" ht="30.75" customHeight="1">
      <c r="A27" s="12" t="s">
        <v>145</v>
      </c>
      <c r="B27" s="12"/>
      <c r="C27" s="12"/>
      <c r="D27" s="13"/>
      <c r="E27" s="12"/>
      <c r="F27" s="12"/>
      <c r="G27" s="12"/>
      <c r="H27" s="13"/>
      <c r="I27" s="13"/>
      <c r="J27" s="12"/>
      <c r="K27" s="12"/>
      <c r="L27" s="12"/>
    </row>
    <row r="28" spans="1:13" ht="30.75" customHeight="1">
      <c r="A28" s="12" t="s">
        <v>146</v>
      </c>
      <c r="B28" s="12"/>
      <c r="C28" s="12"/>
      <c r="D28" s="13"/>
      <c r="E28" s="12"/>
      <c r="F28" s="12"/>
      <c r="G28" s="12"/>
      <c r="H28" s="13"/>
      <c r="I28" s="13"/>
      <c r="J28" s="12"/>
      <c r="K28" s="12"/>
      <c r="L28" s="12"/>
    </row>
    <row r="29" spans="1:13" ht="30.75" customHeight="1">
      <c r="A29" s="12" t="s">
        <v>147</v>
      </c>
      <c r="B29" s="12"/>
      <c r="C29" s="12"/>
      <c r="D29" s="13"/>
      <c r="E29" s="12"/>
      <c r="F29" s="12"/>
      <c r="G29" s="12"/>
      <c r="H29" s="13"/>
      <c r="I29" s="13"/>
      <c r="J29" s="12"/>
      <c r="K29" s="12"/>
      <c r="L29" s="12"/>
    </row>
    <row r="30" spans="1:13" ht="30.75" customHeight="1">
      <c r="A30" s="12" t="s">
        <v>148</v>
      </c>
      <c r="B30" s="12"/>
      <c r="C30" s="12"/>
      <c r="D30" s="13"/>
      <c r="E30" s="12"/>
      <c r="F30" s="12"/>
      <c r="G30" s="12"/>
      <c r="H30" s="13"/>
      <c r="I30" s="13"/>
      <c r="J30" s="12"/>
      <c r="K30" s="12"/>
      <c r="L30" s="12"/>
    </row>
    <row r="31" spans="1:13" ht="30.75" customHeight="1">
      <c r="A31" s="12" t="s">
        <v>149</v>
      </c>
      <c r="B31" s="12"/>
      <c r="C31" s="12"/>
      <c r="D31" s="13"/>
      <c r="E31" s="12"/>
      <c r="F31" s="12"/>
      <c r="G31" s="12"/>
      <c r="H31" s="13"/>
      <c r="I31" s="13"/>
      <c r="J31" s="12"/>
      <c r="K31" s="12"/>
      <c r="L31" s="12"/>
    </row>
    <row r="32" spans="1:13" ht="30.75" customHeight="1">
      <c r="A32" s="12" t="s">
        <v>150</v>
      </c>
      <c r="B32" s="12"/>
      <c r="C32" s="12"/>
      <c r="D32" s="13"/>
      <c r="E32" s="12"/>
      <c r="F32" s="12"/>
      <c r="G32" s="12"/>
      <c r="H32" s="13"/>
      <c r="I32" s="13"/>
      <c r="J32" s="12"/>
      <c r="K32" s="12"/>
      <c r="L32" s="12"/>
    </row>
    <row r="33" spans="1:12" ht="30.75" customHeight="1">
      <c r="A33" s="12" t="s">
        <v>151</v>
      </c>
      <c r="B33" s="12"/>
      <c r="C33" s="12"/>
      <c r="D33" s="13"/>
      <c r="E33" s="12"/>
      <c r="F33" s="12"/>
      <c r="G33" s="12"/>
      <c r="H33" s="13"/>
      <c r="I33" s="13"/>
      <c r="J33" s="12"/>
      <c r="K33" s="12"/>
      <c r="L33" s="12"/>
    </row>
    <row r="34" spans="1:12" ht="30.75" customHeight="1">
      <c r="A34" s="12" t="s">
        <v>152</v>
      </c>
      <c r="B34" s="12"/>
      <c r="C34" s="12"/>
      <c r="D34" s="13"/>
      <c r="E34" s="12"/>
      <c r="F34" s="12"/>
      <c r="G34" s="12"/>
      <c r="H34" s="13"/>
      <c r="I34" s="13"/>
      <c r="J34" s="12"/>
      <c r="K34" s="12"/>
      <c r="L34" s="12"/>
    </row>
    <row r="35" spans="1:12" ht="30.75" customHeight="1">
      <c r="A35" s="12" t="s">
        <v>153</v>
      </c>
      <c r="B35" s="12"/>
      <c r="C35" s="12"/>
      <c r="D35" s="13"/>
      <c r="E35" s="12"/>
      <c r="F35" s="12"/>
      <c r="G35" s="12"/>
      <c r="H35" s="13"/>
      <c r="I35" s="13"/>
      <c r="J35" s="12"/>
      <c r="K35" s="12"/>
      <c r="L35" s="12"/>
    </row>
    <row r="36" spans="1:12" ht="30.75" customHeight="1">
      <c r="A36" s="12" t="s">
        <v>154</v>
      </c>
      <c r="B36" s="12"/>
      <c r="C36" s="12"/>
      <c r="D36" s="13"/>
      <c r="E36" s="12"/>
      <c r="F36" s="12"/>
      <c r="G36" s="12"/>
      <c r="H36" s="13"/>
      <c r="I36" s="13"/>
      <c r="J36" s="12"/>
      <c r="K36" s="12"/>
      <c r="L36" s="12"/>
    </row>
    <row r="37" spans="1:12" ht="30.75" customHeight="1">
      <c r="A37" s="12" t="s">
        <v>155</v>
      </c>
      <c r="B37" s="12"/>
      <c r="C37" s="12"/>
      <c r="D37" s="13"/>
      <c r="E37" s="12"/>
      <c r="F37" s="12"/>
      <c r="G37" s="12"/>
      <c r="H37" s="13"/>
      <c r="I37" s="13"/>
      <c r="J37" s="12"/>
      <c r="K37" s="12"/>
      <c r="L37" s="12"/>
    </row>
    <row r="38" spans="1:12" ht="30.75" customHeight="1">
      <c r="A38" s="12" t="s">
        <v>156</v>
      </c>
      <c r="B38" s="12"/>
      <c r="C38" s="12"/>
      <c r="D38" s="13"/>
      <c r="E38" s="12"/>
      <c r="F38" s="12"/>
      <c r="G38" s="12"/>
      <c r="H38" s="13"/>
      <c r="I38" s="13"/>
      <c r="J38" s="12"/>
      <c r="K38" s="12"/>
      <c r="L38" s="12"/>
    </row>
    <row r="39" spans="1:12" ht="30.75" customHeight="1">
      <c r="A39" s="12" t="s">
        <v>157</v>
      </c>
      <c r="B39" s="12"/>
      <c r="C39" s="12"/>
      <c r="D39" s="13"/>
      <c r="E39" s="12"/>
      <c r="F39" s="12"/>
      <c r="G39" s="12"/>
      <c r="H39" s="13"/>
      <c r="I39" s="13"/>
      <c r="J39" s="12"/>
      <c r="K39" s="12"/>
      <c r="L39" s="12"/>
    </row>
    <row r="40" spans="1:12" ht="30.75" customHeight="1">
      <c r="A40" s="12" t="s">
        <v>158</v>
      </c>
      <c r="B40" s="12"/>
      <c r="C40" s="12"/>
      <c r="D40" s="13"/>
      <c r="E40" s="12"/>
      <c r="F40" s="12"/>
      <c r="G40" s="12"/>
      <c r="H40" s="13"/>
      <c r="I40" s="13"/>
      <c r="J40" s="12"/>
      <c r="K40" s="12"/>
      <c r="L40" s="12"/>
    </row>
    <row r="41" spans="1:12" ht="30.75" customHeight="1">
      <c r="A41" s="12" t="s">
        <v>159</v>
      </c>
      <c r="B41" s="12"/>
      <c r="C41" s="12"/>
      <c r="D41" s="13"/>
      <c r="E41" s="12"/>
      <c r="F41" s="12"/>
      <c r="G41" s="12"/>
      <c r="H41" s="13"/>
      <c r="I41" s="13"/>
      <c r="J41" s="12"/>
      <c r="K41" s="12"/>
      <c r="L41" s="12"/>
    </row>
    <row r="42" spans="1:12" ht="30.75" customHeight="1">
      <c r="A42" s="12" t="s">
        <v>160</v>
      </c>
      <c r="B42" s="12"/>
      <c r="C42" s="12"/>
      <c r="D42" s="13"/>
      <c r="E42" s="12"/>
      <c r="F42" s="12"/>
      <c r="G42" s="12"/>
      <c r="H42" s="13"/>
      <c r="I42" s="13"/>
      <c r="J42" s="12"/>
      <c r="K42" s="12"/>
      <c r="L42" s="12"/>
    </row>
    <row r="43" spans="1:12" ht="30.75" customHeight="1">
      <c r="A43" s="12" t="s">
        <v>161</v>
      </c>
      <c r="B43" s="12"/>
      <c r="C43" s="12"/>
      <c r="D43" s="13"/>
      <c r="E43" s="12"/>
      <c r="F43" s="12"/>
      <c r="G43" s="12"/>
      <c r="H43" s="13"/>
      <c r="I43" s="13"/>
      <c r="J43" s="12"/>
      <c r="K43" s="12"/>
      <c r="L43" s="12"/>
    </row>
    <row r="44" spans="1:12" ht="30.75" customHeight="1">
      <c r="A44" s="12" t="s">
        <v>162</v>
      </c>
      <c r="B44" s="12"/>
      <c r="C44" s="12"/>
      <c r="D44" s="13"/>
      <c r="E44" s="12"/>
      <c r="F44" s="12"/>
      <c r="G44" s="12"/>
      <c r="H44" s="13"/>
      <c r="I44" s="13"/>
      <c r="J44" s="12"/>
      <c r="K44" s="12"/>
      <c r="L44" s="12"/>
    </row>
    <row r="45" spans="1:12" ht="30.75" customHeight="1">
      <c r="A45" s="12" t="s">
        <v>163</v>
      </c>
      <c r="B45" s="12"/>
      <c r="C45" s="12"/>
      <c r="D45" s="13"/>
      <c r="E45" s="12"/>
      <c r="F45" s="12"/>
      <c r="G45" s="12"/>
      <c r="H45" s="13"/>
      <c r="I45" s="13"/>
      <c r="J45" s="12"/>
      <c r="K45" s="12"/>
      <c r="L45" s="12"/>
    </row>
    <row r="46" spans="1:12" ht="30.75" customHeight="1">
      <c r="A46" s="12" t="s">
        <v>164</v>
      </c>
      <c r="B46" s="12"/>
      <c r="C46" s="12"/>
      <c r="D46" s="13"/>
      <c r="E46" s="12"/>
      <c r="F46" s="12"/>
      <c r="G46" s="12"/>
      <c r="H46" s="13"/>
      <c r="I46" s="13"/>
      <c r="J46" s="12"/>
      <c r="K46" s="12"/>
      <c r="L46" s="12"/>
    </row>
    <row r="47" spans="1:12" ht="30.75" customHeight="1">
      <c r="A47" s="12" t="s">
        <v>165</v>
      </c>
      <c r="B47" s="12"/>
      <c r="C47" s="12"/>
      <c r="D47" s="13"/>
      <c r="E47" s="12"/>
      <c r="F47" s="12"/>
      <c r="G47" s="12"/>
      <c r="H47" s="13"/>
      <c r="I47" s="13"/>
      <c r="J47" s="12"/>
      <c r="K47" s="12"/>
      <c r="L47" s="12"/>
    </row>
    <row r="48" spans="1:12" ht="30.75" customHeight="1">
      <c r="A48" s="12" t="s">
        <v>166</v>
      </c>
      <c r="B48" s="12"/>
      <c r="C48" s="12"/>
      <c r="D48" s="13"/>
      <c r="E48" s="12"/>
      <c r="F48" s="12"/>
      <c r="G48" s="12"/>
      <c r="H48" s="13"/>
      <c r="I48" s="13"/>
      <c r="J48" s="12"/>
      <c r="K48" s="12"/>
      <c r="L48" s="12"/>
    </row>
    <row r="49" spans="1:12" ht="30.75" customHeight="1">
      <c r="A49" s="12" t="s">
        <v>167</v>
      </c>
      <c r="B49" s="12"/>
      <c r="C49" s="12"/>
      <c r="D49" s="13"/>
      <c r="E49" s="12"/>
      <c r="F49" s="12"/>
      <c r="G49" s="12"/>
      <c r="H49" s="13"/>
      <c r="I49" s="13"/>
      <c r="J49" s="12"/>
      <c r="K49" s="12"/>
      <c r="L49" s="12"/>
    </row>
    <row r="50" spans="1:12" ht="30.75" customHeight="1">
      <c r="A50" s="12" t="s">
        <v>168</v>
      </c>
      <c r="B50" s="12"/>
      <c r="C50" s="12"/>
      <c r="D50" s="13"/>
      <c r="E50" s="12"/>
      <c r="F50" s="12"/>
      <c r="G50" s="12"/>
      <c r="H50" s="13"/>
      <c r="I50" s="13"/>
      <c r="J50" s="12"/>
      <c r="K50" s="12"/>
      <c r="L50" s="12"/>
    </row>
    <row r="51" spans="1:12" ht="30.75" customHeight="1">
      <c r="A51" s="12" t="s">
        <v>169</v>
      </c>
      <c r="B51" s="12"/>
      <c r="C51" s="12"/>
      <c r="D51" s="13"/>
      <c r="E51" s="12"/>
      <c r="F51" s="12"/>
      <c r="G51" s="12"/>
      <c r="H51" s="13"/>
      <c r="I51" s="13"/>
      <c r="J51" s="12"/>
      <c r="K51" s="12"/>
      <c r="L51" s="12"/>
    </row>
    <row r="52" spans="1:12" ht="30.75" customHeight="1">
      <c r="A52" s="12" t="s">
        <v>170</v>
      </c>
      <c r="B52" s="12"/>
      <c r="C52" s="12"/>
      <c r="D52" s="13"/>
      <c r="E52" s="12"/>
      <c r="F52" s="12"/>
      <c r="G52" s="12"/>
      <c r="H52" s="13"/>
      <c r="I52" s="13"/>
      <c r="J52" s="12"/>
      <c r="K52" s="12"/>
      <c r="L52" s="12"/>
    </row>
    <row r="53" spans="1:12" ht="30.75" customHeight="1">
      <c r="A53" s="12" t="s">
        <v>171</v>
      </c>
      <c r="B53" s="12"/>
      <c r="C53" s="12"/>
      <c r="D53" s="13"/>
      <c r="E53" s="12"/>
      <c r="F53" s="12"/>
      <c r="G53" s="12"/>
      <c r="H53" s="13"/>
      <c r="I53" s="13"/>
      <c r="J53" s="12"/>
      <c r="K53" s="12"/>
      <c r="L53" s="12"/>
    </row>
    <row r="54" spans="1:12" ht="30.75" customHeight="1">
      <c r="A54" s="12" t="s">
        <v>172</v>
      </c>
      <c r="B54" s="12"/>
      <c r="C54" s="12"/>
      <c r="D54" s="13"/>
      <c r="E54" s="12"/>
      <c r="F54" s="12"/>
      <c r="G54" s="12"/>
      <c r="H54" s="13"/>
      <c r="I54" s="13"/>
      <c r="J54" s="12"/>
      <c r="K54" s="12"/>
      <c r="L54" s="12"/>
    </row>
    <row r="55" spans="1:12" ht="30.75" customHeight="1">
      <c r="A55" s="12" t="s">
        <v>173</v>
      </c>
      <c r="B55" s="12"/>
      <c r="C55" s="12"/>
      <c r="D55" s="13"/>
      <c r="E55" s="12"/>
      <c r="F55" s="12"/>
      <c r="G55" s="12"/>
      <c r="H55" s="13"/>
      <c r="I55" s="13"/>
      <c r="J55" s="12"/>
      <c r="K55" s="12"/>
      <c r="L55" s="12"/>
    </row>
    <row r="56" spans="1:12" ht="30.75" customHeight="1">
      <c r="A56" s="12" t="s">
        <v>174</v>
      </c>
      <c r="B56" s="12"/>
      <c r="C56" s="12"/>
      <c r="D56" s="13"/>
      <c r="E56" s="12"/>
      <c r="F56" s="12"/>
      <c r="G56" s="12"/>
      <c r="H56" s="13"/>
      <c r="I56" s="13"/>
      <c r="J56" s="12"/>
      <c r="K56" s="12"/>
      <c r="L56" s="12"/>
    </row>
    <row r="57" spans="1:12" ht="30.75" customHeight="1">
      <c r="A57" s="12" t="s">
        <v>175</v>
      </c>
      <c r="B57" s="12"/>
      <c r="C57" s="12"/>
      <c r="D57" s="13"/>
      <c r="E57" s="12"/>
      <c r="F57" s="12"/>
      <c r="G57" s="12"/>
      <c r="H57" s="13"/>
      <c r="I57" s="13"/>
      <c r="J57" s="12"/>
      <c r="K57" s="12"/>
      <c r="L57" s="12"/>
    </row>
    <row r="58" spans="1:12" ht="30.75" customHeight="1">
      <c r="A58" s="12" t="s">
        <v>176</v>
      </c>
      <c r="B58" s="12"/>
      <c r="C58" s="12"/>
      <c r="D58" s="13"/>
      <c r="E58" s="12"/>
      <c r="F58" s="12"/>
      <c r="G58" s="12"/>
      <c r="H58" s="13"/>
      <c r="I58" s="13"/>
      <c r="J58" s="12"/>
      <c r="K58" s="12"/>
      <c r="L58" s="12"/>
    </row>
    <row r="59" spans="1:12" ht="30.75" customHeight="1">
      <c r="A59" s="12" t="s">
        <v>177</v>
      </c>
      <c r="B59" s="12"/>
      <c r="C59" s="12"/>
      <c r="D59" s="13"/>
      <c r="E59" s="12"/>
      <c r="F59" s="12"/>
      <c r="G59" s="12"/>
      <c r="H59" s="13"/>
      <c r="I59" s="13"/>
      <c r="J59" s="12"/>
      <c r="K59" s="12"/>
      <c r="L59" s="12"/>
    </row>
    <row r="60" spans="1:12" ht="30.75" customHeight="1">
      <c r="A60" s="12" t="s">
        <v>178</v>
      </c>
      <c r="B60" s="12"/>
      <c r="C60" s="12"/>
      <c r="D60" s="13"/>
      <c r="E60" s="12"/>
      <c r="F60" s="12"/>
      <c r="G60" s="12"/>
      <c r="H60" s="13"/>
      <c r="I60" s="13"/>
      <c r="J60" s="12"/>
      <c r="K60" s="12"/>
      <c r="L60" s="12"/>
    </row>
    <row r="61" spans="1:12" ht="30.75" customHeight="1">
      <c r="A61" s="12" t="s">
        <v>179</v>
      </c>
      <c r="B61" s="12"/>
      <c r="C61" s="12"/>
      <c r="D61" s="13"/>
      <c r="E61" s="12"/>
      <c r="F61" s="12"/>
      <c r="G61" s="12"/>
      <c r="H61" s="13"/>
      <c r="I61" s="13"/>
      <c r="J61" s="12"/>
      <c r="K61" s="12"/>
      <c r="L61" s="12"/>
    </row>
    <row r="62" spans="1:12" ht="30.75" customHeight="1">
      <c r="A62" s="12" t="s">
        <v>180</v>
      </c>
      <c r="B62" s="12" t="s">
        <v>182</v>
      </c>
      <c r="C62" s="12"/>
      <c r="D62" s="13"/>
      <c r="E62" s="12"/>
      <c r="F62" s="12"/>
      <c r="G62" s="12"/>
      <c r="H62" s="13"/>
      <c r="I62" s="13"/>
      <c r="J62" s="12"/>
      <c r="K62" s="12"/>
      <c r="L62" s="12"/>
    </row>
    <row r="63" spans="1:12" ht="30.75" customHeight="1">
      <c r="A63" s="12" t="s">
        <v>181</v>
      </c>
      <c r="B63" s="12" t="s">
        <v>182</v>
      </c>
      <c r="C63" s="12"/>
      <c r="D63" s="13"/>
      <c r="E63" s="12"/>
      <c r="F63" s="12"/>
      <c r="G63" s="12"/>
      <c r="H63" s="13"/>
      <c r="I63" s="13"/>
      <c r="J63" s="12"/>
      <c r="K63" s="12"/>
      <c r="L63" s="12"/>
    </row>
  </sheetData>
  <mergeCells count="24">
    <mergeCell ref="C16:C17"/>
    <mergeCell ref="B16:B17"/>
    <mergeCell ref="A16:A17"/>
    <mergeCell ref="L8:L9"/>
    <mergeCell ref="J8:J9"/>
    <mergeCell ref="F16:G17"/>
    <mergeCell ref="K16:K17"/>
    <mergeCell ref="H16:H17"/>
    <mergeCell ref="I16:I17"/>
    <mergeCell ref="C1:E1"/>
    <mergeCell ref="F1:L1"/>
    <mergeCell ref="F8:G8"/>
    <mergeCell ref="F14:G14"/>
    <mergeCell ref="A8:A9"/>
    <mergeCell ref="B8:B9"/>
    <mergeCell ref="K8:K9"/>
    <mergeCell ref="C8:C9"/>
    <mergeCell ref="D8:D9"/>
    <mergeCell ref="E8:E9"/>
    <mergeCell ref="A10:A11"/>
    <mergeCell ref="B10:B11"/>
    <mergeCell ref="C10:C11"/>
    <mergeCell ref="D10:D11"/>
    <mergeCell ref="E10:E11"/>
  </mergeCells>
  <hyperlinks>
    <hyperlink ref="D3" r:id="rId1"/>
    <hyperlink ref="H3" r:id="rId2"/>
    <hyperlink ref="D4" r:id="rId3"/>
    <hyperlink ref="H4" r:id="rId4"/>
    <hyperlink ref="D5" r:id="rId5"/>
    <hyperlink ref="H5" r:id="rId6"/>
    <hyperlink ref="H6" r:id="rId7"/>
    <hyperlink ref="D6" r:id="rId8"/>
    <hyperlink ref="D7" r:id="rId9"/>
    <hyperlink ref="H7" r:id="rId10"/>
    <hyperlink ref="D10" r:id="rId11"/>
    <hyperlink ref="H10" r:id="rId12"/>
    <hyperlink ref="H8" r:id="rId13"/>
    <hyperlink ref="H9" r:id="rId14"/>
    <hyperlink ref="D8" r:id="rId15"/>
    <hyperlink ref="D13" r:id="rId16"/>
    <hyperlink ref="H13" r:id="rId17"/>
    <hyperlink ref="H14" r:id="rId18"/>
    <hyperlink ref="D16" r:id="rId19"/>
    <hyperlink ref="D21" r:id="rId20"/>
  </hyperlinks>
  <pageMargins left="0.7" right="0.7" top="0.75" bottom="0.75" header="0.3" footer="0.3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2" sqref="C2"/>
    </sheetView>
  </sheetViews>
  <sheetFormatPr baseColWidth="10" defaultRowHeight="15"/>
  <cols>
    <col min="1" max="1" width="26.7109375" customWidth="1"/>
    <col min="2" max="2" width="28" customWidth="1"/>
    <col min="3" max="3" width="17.85546875" customWidth="1"/>
  </cols>
  <sheetData>
    <row r="1" spans="1:3" ht="24.75" customHeight="1">
      <c r="A1" s="45" t="s">
        <v>141</v>
      </c>
      <c r="B1" s="45" t="s">
        <v>102</v>
      </c>
      <c r="C1" t="s">
        <v>186</v>
      </c>
    </row>
    <row r="2" spans="1:3">
      <c r="A2" s="7" t="s">
        <v>87</v>
      </c>
      <c r="B2" s="21">
        <v>440</v>
      </c>
    </row>
    <row r="3" spans="1:3">
      <c r="A3" s="7" t="s">
        <v>23</v>
      </c>
      <c r="B3" s="21">
        <v>320</v>
      </c>
    </row>
    <row r="4" spans="1:3">
      <c r="A4" s="7" t="s">
        <v>13</v>
      </c>
      <c r="B4" s="21">
        <v>511</v>
      </c>
    </row>
    <row r="5" spans="1:3">
      <c r="A5" s="7" t="s">
        <v>97</v>
      </c>
      <c r="B5" s="21">
        <v>50</v>
      </c>
    </row>
    <row r="6" spans="1:3">
      <c r="A6" s="7" t="s">
        <v>98</v>
      </c>
      <c r="B6" s="21">
        <v>16</v>
      </c>
    </row>
    <row r="7" spans="1:3">
      <c r="A7" s="7" t="s">
        <v>32</v>
      </c>
      <c r="B7" s="21">
        <v>125</v>
      </c>
    </row>
    <row r="8" spans="1:3">
      <c r="A8" s="7" t="s">
        <v>139</v>
      </c>
      <c r="B8" s="21">
        <v>21</v>
      </c>
    </row>
    <row r="9" spans="1:3">
      <c r="A9" s="7" t="s">
        <v>130</v>
      </c>
      <c r="B9" s="21">
        <v>61</v>
      </c>
    </row>
    <row r="10" spans="1:3">
      <c r="A10" s="7" t="s">
        <v>35</v>
      </c>
      <c r="B10" s="21">
        <v>131</v>
      </c>
    </row>
    <row r="11" spans="1:3">
      <c r="A11" s="7" t="s">
        <v>92</v>
      </c>
      <c r="B11" s="21">
        <v>1897</v>
      </c>
    </row>
    <row r="12" spans="1:3">
      <c r="A12" s="7" t="s">
        <v>39</v>
      </c>
      <c r="B12" s="21">
        <v>435</v>
      </c>
    </row>
    <row r="13" spans="1:3">
      <c r="A13" s="7" t="s">
        <v>99</v>
      </c>
      <c r="B13" s="21">
        <v>769</v>
      </c>
    </row>
    <row r="14" spans="1:3">
      <c r="A14" s="7" t="s">
        <v>140</v>
      </c>
      <c r="B14" s="21">
        <v>54</v>
      </c>
    </row>
    <row r="15" spans="1:3">
      <c r="A15" s="7" t="s">
        <v>100</v>
      </c>
      <c r="B15" s="21">
        <v>5</v>
      </c>
    </row>
    <row r="16" spans="1:3">
      <c r="A16" s="7" t="s">
        <v>101</v>
      </c>
      <c r="B16" s="21">
        <v>223</v>
      </c>
    </row>
    <row r="17" spans="1:2">
      <c r="A17" s="7" t="s">
        <v>96</v>
      </c>
      <c r="B17" s="21">
        <v>438</v>
      </c>
    </row>
    <row r="18" spans="1:2">
      <c r="A18" s="7" t="s">
        <v>126</v>
      </c>
      <c r="B18" s="21">
        <f>SUM(B2:B17)</f>
        <v>5496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28" sqref="C28"/>
    </sheetView>
  </sheetViews>
  <sheetFormatPr baseColWidth="10" defaultRowHeight="15"/>
  <cols>
    <col min="1" max="1" width="29.5703125" bestFit="1" customWidth="1"/>
    <col min="2" max="2" width="37.42578125" bestFit="1" customWidth="1"/>
    <col min="3" max="3" width="20.28515625" customWidth="1"/>
  </cols>
  <sheetData>
    <row r="1" spans="1:3" ht="30" customHeight="1">
      <c r="A1" s="23" t="s">
        <v>142</v>
      </c>
      <c r="B1" s="23" t="s">
        <v>105</v>
      </c>
      <c r="C1" s="23" t="s">
        <v>127</v>
      </c>
    </row>
    <row r="2" spans="1:3">
      <c r="A2" s="7" t="s">
        <v>103</v>
      </c>
      <c r="B2" s="21">
        <v>4176</v>
      </c>
      <c r="C2" s="21">
        <f>B2/B4*100</f>
        <v>75.982532751091696</v>
      </c>
    </row>
    <row r="3" spans="1:3">
      <c r="A3" s="7" t="s">
        <v>104</v>
      </c>
      <c r="B3" s="21">
        <v>1320</v>
      </c>
      <c r="C3" s="21">
        <f>B3/B4*100</f>
        <v>24.017467248908297</v>
      </c>
    </row>
    <row r="4" spans="1:3">
      <c r="A4" s="7" t="s">
        <v>126</v>
      </c>
      <c r="B4" s="21">
        <f>SUM(B2:B3)</f>
        <v>5496</v>
      </c>
      <c r="C4" s="21">
        <f>B4/B4*100</f>
        <v>100</v>
      </c>
    </row>
    <row r="8" spans="1:3" ht="39" customHeight="1">
      <c r="A8" s="23" t="s">
        <v>125</v>
      </c>
      <c r="B8" s="23" t="s">
        <v>106</v>
      </c>
    </row>
    <row r="9" spans="1:3">
      <c r="A9" s="7" t="s">
        <v>103</v>
      </c>
      <c r="B9" s="6" t="s">
        <v>109</v>
      </c>
    </row>
    <row r="10" spans="1:3">
      <c r="A10" s="7" t="s">
        <v>103</v>
      </c>
      <c r="B10" s="6" t="s">
        <v>111</v>
      </c>
    </row>
    <row r="11" spans="1:3">
      <c r="A11" s="7" t="s">
        <v>103</v>
      </c>
      <c r="B11" s="6" t="s">
        <v>121</v>
      </c>
    </row>
    <row r="12" spans="1:3">
      <c r="A12" s="7" t="s">
        <v>103</v>
      </c>
      <c r="B12" s="6" t="s">
        <v>112</v>
      </c>
    </row>
    <row r="13" spans="1:3">
      <c r="A13" s="7" t="s">
        <v>103</v>
      </c>
      <c r="B13" s="6" t="s">
        <v>116</v>
      </c>
    </row>
    <row r="14" spans="1:3">
      <c r="A14" s="7" t="s">
        <v>103</v>
      </c>
      <c r="B14" s="6" t="s">
        <v>118</v>
      </c>
    </row>
    <row r="15" spans="1:3">
      <c r="A15" s="7" t="s">
        <v>103</v>
      </c>
      <c r="B15" s="6" t="s">
        <v>122</v>
      </c>
    </row>
    <row r="16" spans="1:3">
      <c r="A16" s="7" t="s">
        <v>104</v>
      </c>
      <c r="B16" s="6" t="s">
        <v>120</v>
      </c>
    </row>
    <row r="17" spans="1:2">
      <c r="A17" s="7" t="s">
        <v>104</v>
      </c>
      <c r="B17" s="6" t="s">
        <v>123</v>
      </c>
    </row>
    <row r="18" spans="1:2">
      <c r="A18" s="7" t="s">
        <v>104</v>
      </c>
      <c r="B18" s="6" t="s">
        <v>110</v>
      </c>
    </row>
    <row r="19" spans="1:2">
      <c r="A19" s="7" t="s">
        <v>104</v>
      </c>
      <c r="B19" s="6" t="s">
        <v>119</v>
      </c>
    </row>
    <row r="20" spans="1:2">
      <c r="A20" s="7" t="s">
        <v>104</v>
      </c>
      <c r="B20" s="6" t="s">
        <v>114</v>
      </c>
    </row>
    <row r="21" spans="1:2">
      <c r="A21" s="7" t="s">
        <v>104</v>
      </c>
      <c r="B21" s="6" t="s">
        <v>113</v>
      </c>
    </row>
    <row r="22" spans="1:2">
      <c r="A22" s="7" t="s">
        <v>104</v>
      </c>
      <c r="B22" s="6" t="s">
        <v>115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25" sqref="B25"/>
    </sheetView>
  </sheetViews>
  <sheetFormatPr baseColWidth="10" defaultRowHeight="15"/>
  <cols>
    <col min="1" max="1" width="42.28515625" bestFit="1" customWidth="1"/>
    <col min="2" max="2" width="22.140625" bestFit="1" customWidth="1"/>
  </cols>
  <sheetData>
    <row r="1" spans="1:2" s="8" customFormat="1" ht="30.75" customHeight="1">
      <c r="A1" s="23" t="s">
        <v>124</v>
      </c>
      <c r="B1" s="23" t="s">
        <v>105</v>
      </c>
    </row>
    <row r="2" spans="1:2">
      <c r="A2" s="7" t="s">
        <v>107</v>
      </c>
      <c r="B2" s="6">
        <v>1</v>
      </c>
    </row>
    <row r="3" spans="1:2">
      <c r="A3" s="7" t="s">
        <v>108</v>
      </c>
      <c r="B3" s="6">
        <v>328</v>
      </c>
    </row>
    <row r="4" spans="1:2">
      <c r="A4" s="7" t="s">
        <v>109</v>
      </c>
      <c r="B4" s="24">
        <v>3739</v>
      </c>
    </row>
    <row r="5" spans="1:2">
      <c r="A5" s="7" t="s">
        <v>110</v>
      </c>
      <c r="B5" s="6">
        <v>1</v>
      </c>
    </row>
    <row r="6" spans="1:2">
      <c r="A6" s="7" t="s">
        <v>111</v>
      </c>
      <c r="B6" s="6">
        <v>29</v>
      </c>
    </row>
    <row r="7" spans="1:2">
      <c r="A7" s="7" t="s">
        <v>112</v>
      </c>
      <c r="B7" s="6">
        <v>8</v>
      </c>
    </row>
    <row r="8" spans="1:2">
      <c r="A8" s="7" t="s">
        <v>113</v>
      </c>
      <c r="B8" s="6">
        <v>22</v>
      </c>
    </row>
    <row r="9" spans="1:2">
      <c r="A9" s="7" t="s">
        <v>114</v>
      </c>
      <c r="B9" s="6">
        <v>9</v>
      </c>
    </row>
    <row r="10" spans="1:2">
      <c r="A10" s="7" t="s">
        <v>115</v>
      </c>
      <c r="B10" s="6">
        <v>34</v>
      </c>
    </row>
    <row r="11" spans="1:2">
      <c r="A11" s="7" t="s">
        <v>116</v>
      </c>
      <c r="B11" s="6">
        <v>38</v>
      </c>
    </row>
    <row r="12" spans="1:2">
      <c r="A12" s="7" t="s">
        <v>117</v>
      </c>
      <c r="B12" s="6">
        <v>89</v>
      </c>
    </row>
    <row r="13" spans="1:2">
      <c r="A13" s="7" t="s">
        <v>118</v>
      </c>
      <c r="B13" s="6">
        <v>2</v>
      </c>
    </row>
    <row r="14" spans="1:2">
      <c r="A14" s="7" t="s">
        <v>119</v>
      </c>
      <c r="B14" s="6">
        <v>154</v>
      </c>
    </row>
    <row r="15" spans="1:2">
      <c r="A15" s="7" t="s">
        <v>120</v>
      </c>
      <c r="B15" s="6">
        <v>601</v>
      </c>
    </row>
    <row r="16" spans="1:2">
      <c r="A16" s="7" t="s">
        <v>121</v>
      </c>
      <c r="B16" s="6">
        <v>1</v>
      </c>
    </row>
    <row r="17" spans="1:2">
      <c r="A17" s="7" t="s">
        <v>122</v>
      </c>
      <c r="B17" s="6">
        <v>2</v>
      </c>
    </row>
    <row r="18" spans="1:2">
      <c r="A18" s="7" t="s">
        <v>123</v>
      </c>
      <c r="B18" s="6">
        <v>438</v>
      </c>
    </row>
    <row r="19" spans="1:2">
      <c r="A19" s="7" t="s">
        <v>126</v>
      </c>
      <c r="B19" s="6">
        <f>SUM(B2:B18)</f>
        <v>5496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selection activeCell="B30" sqref="B30"/>
    </sheetView>
  </sheetViews>
  <sheetFormatPr baseColWidth="10" defaultRowHeight="15"/>
  <cols>
    <col min="1" max="1" width="19.28515625" style="46" customWidth="1"/>
    <col min="2" max="2" width="46" style="46" bestFit="1" customWidth="1"/>
    <col min="3" max="3" width="45.85546875" bestFit="1" customWidth="1"/>
  </cols>
  <sheetData>
    <row r="1" spans="1:3" s="63" customFormat="1" ht="25.5" customHeight="1">
      <c r="A1" s="61" t="s">
        <v>184</v>
      </c>
      <c r="B1" s="62" t="s">
        <v>183</v>
      </c>
      <c r="C1" s="62" t="s">
        <v>185</v>
      </c>
    </row>
    <row r="2" spans="1:3" ht="15.75">
      <c r="A2" s="47">
        <v>0</v>
      </c>
      <c r="B2" s="51">
        <f>1214+351</f>
        <v>1565</v>
      </c>
      <c r="C2" s="52">
        <f>3549+370</f>
        <v>3919</v>
      </c>
    </row>
    <row r="3" spans="1:3" ht="15.75">
      <c r="A3" s="48">
        <v>2002</v>
      </c>
      <c r="B3" s="53">
        <v>1</v>
      </c>
      <c r="C3" s="54">
        <v>1</v>
      </c>
    </row>
    <row r="4" spans="1:3" ht="15.75">
      <c r="A4" s="49">
        <v>2004</v>
      </c>
      <c r="B4" s="51">
        <v>1</v>
      </c>
      <c r="C4" s="54">
        <v>1</v>
      </c>
    </row>
    <row r="5" spans="1:3" ht="15.75">
      <c r="A5" s="49">
        <v>2006</v>
      </c>
      <c r="B5" s="51">
        <v>10</v>
      </c>
      <c r="C5" s="54">
        <v>4</v>
      </c>
    </row>
    <row r="6" spans="1:3" ht="15.75">
      <c r="A6" s="49">
        <v>2007</v>
      </c>
      <c r="B6" s="51">
        <v>37</v>
      </c>
      <c r="C6" s="54">
        <v>21</v>
      </c>
    </row>
    <row r="7" spans="1:3" ht="15.75">
      <c r="A7" s="49">
        <v>2008</v>
      </c>
      <c r="B7" s="51">
        <v>49</v>
      </c>
      <c r="C7" s="54">
        <v>55</v>
      </c>
    </row>
    <row r="8" spans="1:3" ht="15.75">
      <c r="A8" s="49">
        <v>2009</v>
      </c>
      <c r="B8" s="51">
        <v>28</v>
      </c>
      <c r="C8" s="54">
        <v>7</v>
      </c>
    </row>
    <row r="9" spans="1:3" ht="15.75">
      <c r="A9" s="49">
        <v>2010</v>
      </c>
      <c r="B9" s="51">
        <v>75</v>
      </c>
      <c r="C9" s="54">
        <v>20</v>
      </c>
    </row>
    <row r="10" spans="1:3" ht="15.75">
      <c r="A10" s="49">
        <v>2011</v>
      </c>
      <c r="B10" s="51">
        <v>36</v>
      </c>
      <c r="C10" s="54">
        <v>52</v>
      </c>
    </row>
    <row r="11" spans="1:3" ht="15.75">
      <c r="A11" s="49">
        <v>2012</v>
      </c>
      <c r="B11" s="51">
        <v>119</v>
      </c>
      <c r="C11" s="54">
        <v>26</v>
      </c>
    </row>
    <row r="12" spans="1:3" ht="15.75">
      <c r="A12" s="49">
        <v>2013</v>
      </c>
      <c r="B12" s="51">
        <v>622</v>
      </c>
      <c r="C12" s="54">
        <v>30</v>
      </c>
    </row>
    <row r="13" spans="1:3" ht="15.75">
      <c r="A13" s="49">
        <v>2014</v>
      </c>
      <c r="B13" s="51">
        <v>605</v>
      </c>
      <c r="C13" s="54">
        <v>37</v>
      </c>
    </row>
    <row r="14" spans="1:3" ht="15.75">
      <c r="A14" s="49">
        <v>2015</v>
      </c>
      <c r="B14" s="51">
        <v>366</v>
      </c>
      <c r="C14" s="54">
        <v>45</v>
      </c>
    </row>
    <row r="15" spans="1:3" ht="15.75">
      <c r="A15" s="49">
        <v>2016</v>
      </c>
      <c r="B15" s="51">
        <v>547</v>
      </c>
      <c r="C15" s="54">
        <v>300</v>
      </c>
    </row>
    <row r="16" spans="1:3" ht="15.75">
      <c r="A16" s="49">
        <v>2017</v>
      </c>
      <c r="B16" s="51">
        <v>612</v>
      </c>
      <c r="C16" s="54">
        <v>261</v>
      </c>
    </row>
    <row r="17" spans="1:9" ht="15.75">
      <c r="A17" s="49">
        <v>2018</v>
      </c>
      <c r="B17" s="51">
        <v>75</v>
      </c>
      <c r="C17" s="54">
        <v>42</v>
      </c>
    </row>
    <row r="18" spans="1:9" ht="15.75">
      <c r="A18" s="49">
        <v>2019</v>
      </c>
      <c r="B18" s="51">
        <v>73</v>
      </c>
      <c r="C18" s="54">
        <v>36</v>
      </c>
      <c r="F18" s="57"/>
      <c r="G18" s="57"/>
      <c r="H18" s="57"/>
      <c r="I18" s="57"/>
    </row>
    <row r="19" spans="1:9" ht="15.75">
      <c r="A19" s="49">
        <v>2020</v>
      </c>
      <c r="B19" s="51">
        <v>177</v>
      </c>
      <c r="C19" s="54">
        <v>131</v>
      </c>
      <c r="F19" s="57"/>
      <c r="G19" s="57"/>
      <c r="H19" s="57"/>
      <c r="I19" s="57"/>
    </row>
    <row r="20" spans="1:9" ht="15.75">
      <c r="A20" s="49">
        <v>2021</v>
      </c>
      <c r="B20" s="51">
        <v>60</v>
      </c>
      <c r="C20" s="54">
        <v>67</v>
      </c>
      <c r="F20" s="57"/>
      <c r="G20" s="58"/>
      <c r="H20" s="59"/>
      <c r="I20" s="57"/>
    </row>
    <row r="21" spans="1:9" ht="15.75">
      <c r="A21" s="49">
        <v>2022</v>
      </c>
      <c r="B21" s="51">
        <v>63</v>
      </c>
      <c r="C21" s="54">
        <v>64</v>
      </c>
      <c r="F21" s="57"/>
      <c r="G21" s="60"/>
      <c r="H21" s="60"/>
      <c r="I21" s="57"/>
    </row>
    <row r="22" spans="1:9" ht="15.75">
      <c r="A22" s="49">
        <v>2023</v>
      </c>
      <c r="B22" s="51">
        <v>90</v>
      </c>
      <c r="C22" s="54">
        <v>90</v>
      </c>
      <c r="F22" s="57"/>
      <c r="G22" s="60"/>
      <c r="H22" s="60"/>
      <c r="I22" s="57"/>
    </row>
    <row r="23" spans="1:9" ht="15.75">
      <c r="A23" s="49">
        <v>2024</v>
      </c>
      <c r="B23" s="51">
        <v>161</v>
      </c>
      <c r="C23" s="54">
        <v>163</v>
      </c>
      <c r="F23" s="57"/>
      <c r="G23" s="60"/>
      <c r="H23" s="60"/>
      <c r="I23" s="57"/>
    </row>
    <row r="24" spans="1:9" ht="15.75">
      <c r="A24" s="49">
        <v>2025</v>
      </c>
      <c r="B24" s="51">
        <v>124</v>
      </c>
      <c r="C24" s="54">
        <v>124</v>
      </c>
      <c r="F24" s="57"/>
      <c r="G24" s="60"/>
      <c r="H24" s="60"/>
      <c r="I24" s="57"/>
    </row>
    <row r="25" spans="1:9" ht="15.75">
      <c r="A25" s="50" t="s">
        <v>126</v>
      </c>
      <c r="B25" s="55">
        <f>SUM(B2:B24)</f>
        <v>5496</v>
      </c>
      <c r="C25" s="56">
        <f>SUM(C2:C24)</f>
        <v>5496</v>
      </c>
      <c r="F25" s="57"/>
      <c r="G25" s="60"/>
      <c r="H25" s="60"/>
      <c r="I25" s="57"/>
    </row>
    <row r="26" spans="1:9">
      <c r="F26" s="57"/>
      <c r="G26" s="60"/>
      <c r="H26" s="60"/>
      <c r="I26" s="57"/>
    </row>
    <row r="27" spans="1:9">
      <c r="F27" s="57"/>
      <c r="G27" s="60"/>
      <c r="H27" s="60"/>
      <c r="I27" s="57"/>
    </row>
    <row r="28" spans="1:9">
      <c r="F28" s="57"/>
      <c r="G28" s="60"/>
      <c r="H28" s="60"/>
      <c r="I28" s="57"/>
    </row>
    <row r="29" spans="1:9">
      <c r="F29" s="57"/>
      <c r="G29" s="60"/>
      <c r="H29" s="60"/>
      <c r="I29" s="57"/>
    </row>
    <row r="30" spans="1:9">
      <c r="F30" s="57"/>
      <c r="G30" s="60"/>
      <c r="H30" s="60"/>
      <c r="I30" s="57"/>
    </row>
    <row r="31" spans="1:9">
      <c r="F31" s="57"/>
      <c r="G31" s="60"/>
      <c r="H31" s="60"/>
      <c r="I31" s="57"/>
    </row>
    <row r="32" spans="1:9">
      <c r="F32" s="57"/>
      <c r="G32" s="60"/>
      <c r="H32" s="60"/>
      <c r="I32" s="57"/>
    </row>
    <row r="33" spans="6:9">
      <c r="F33" s="57"/>
      <c r="G33" s="60"/>
      <c r="H33" s="60"/>
      <c r="I33" s="57"/>
    </row>
    <row r="34" spans="6:9">
      <c r="F34" s="57"/>
      <c r="G34" s="60"/>
      <c r="H34" s="60"/>
      <c r="I34" s="57"/>
    </row>
    <row r="35" spans="6:9">
      <c r="F35" s="57"/>
      <c r="G35" s="60"/>
      <c r="H35" s="60"/>
      <c r="I35" s="57"/>
    </row>
    <row r="36" spans="6:9">
      <c r="F36" s="57"/>
      <c r="G36" s="60"/>
      <c r="H36" s="60"/>
      <c r="I36" s="57"/>
    </row>
    <row r="37" spans="6:9">
      <c r="F37" s="57"/>
      <c r="G37" s="60"/>
      <c r="H37" s="60"/>
      <c r="I37" s="57"/>
    </row>
    <row r="38" spans="6:9">
      <c r="F38" s="57"/>
      <c r="G38" s="60"/>
      <c r="H38" s="60"/>
      <c r="I38" s="57"/>
    </row>
    <row r="39" spans="6:9">
      <c r="F39" s="57"/>
      <c r="G39" s="60"/>
      <c r="H39" s="60"/>
      <c r="I39" s="57"/>
    </row>
    <row r="40" spans="6:9">
      <c r="F40" s="57"/>
      <c r="G40" s="60"/>
      <c r="H40" s="60"/>
      <c r="I40" s="57"/>
    </row>
    <row r="41" spans="6:9">
      <c r="F41" s="57"/>
      <c r="G41" s="60"/>
      <c r="H41" s="60"/>
      <c r="I41" s="57"/>
    </row>
    <row r="42" spans="6:9">
      <c r="F42" s="57"/>
      <c r="G42" s="60"/>
      <c r="H42" s="60"/>
      <c r="I42" s="57"/>
    </row>
    <row r="43" spans="6:9">
      <c r="F43" s="57"/>
      <c r="G43" s="60"/>
      <c r="H43" s="60"/>
      <c r="I43" s="57"/>
    </row>
    <row r="44" spans="6:9">
      <c r="F44" s="57"/>
      <c r="G44" s="57"/>
      <c r="H44" s="57"/>
      <c r="I44" s="5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etat</vt:lpstr>
      <vt:lpstr>fourn</vt:lpstr>
      <vt:lpstr>categorie</vt:lpstr>
      <vt:lpstr>sous categorie</vt:lpstr>
      <vt:lpstr>eoleos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Dali_tunCERT19</dc:creator>
  <cp:lastModifiedBy>Dali_tunCERT19</cp:lastModifiedBy>
  <dcterms:created xsi:type="dcterms:W3CDTF">2020-06-23T11:23:45Z</dcterms:created>
  <dcterms:modified xsi:type="dcterms:W3CDTF">2020-09-24T15:30:19Z</dcterms:modified>
</cp:coreProperties>
</file>